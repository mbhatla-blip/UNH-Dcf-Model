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s" sheetId="1" r:id="rId5"/>
    <sheet state="visible" name="FS_Forecast" sheetId="2" r:id="rId6"/>
    <sheet state="visible" name="FCFF " sheetId="3" r:id="rId7"/>
    <sheet state="hidden" name="Sheet3" sheetId="4" r:id="rId8"/>
  </sheets>
  <definedNames/>
  <calcPr/>
</workbook>
</file>

<file path=xl/sharedStrings.xml><?xml version="1.0" encoding="utf-8"?>
<sst xmlns="http://schemas.openxmlformats.org/spreadsheetml/2006/main" count="223" uniqueCount="150">
  <si>
    <t>United Health Income Statement - 10K</t>
  </si>
  <si>
    <t>Total revenues</t>
  </si>
  <si>
    <t xml:space="preserve">% increase in revenue </t>
  </si>
  <si>
    <t>-%</t>
  </si>
  <si>
    <t xml:space="preserve">Total Cost Of Goods Sold </t>
  </si>
  <si>
    <t xml:space="preserve">% of total revenue </t>
  </si>
  <si>
    <t xml:space="preserve">Gross Profit </t>
  </si>
  <si>
    <t>Depreciation and amortization</t>
  </si>
  <si>
    <t xml:space="preserve">EBIT </t>
  </si>
  <si>
    <t>Interest expense</t>
  </si>
  <si>
    <t>Loss on sale of subsidiary and subsidiaries held for sale</t>
  </si>
  <si>
    <t xml:space="preserve">Earnings Before Tax </t>
  </si>
  <si>
    <t>Provision for income taxes</t>
  </si>
  <si>
    <t xml:space="preserve">Net Income </t>
  </si>
  <si>
    <t>United Health Balance Sheet - 10K</t>
  </si>
  <si>
    <t>2025(UA)</t>
  </si>
  <si>
    <t>Current assets:</t>
  </si>
  <si>
    <t>Cash and cash equivalents</t>
  </si>
  <si>
    <t>Short-term investments</t>
  </si>
  <si>
    <t>Accounts receivable, net</t>
  </si>
  <si>
    <t xml:space="preserve">Account Receivables/Revenue </t>
  </si>
  <si>
    <t>Other current receivables, net</t>
  </si>
  <si>
    <t xml:space="preserve">Other Receivables/Revenue </t>
  </si>
  <si>
    <t>Assets under management</t>
  </si>
  <si>
    <t>-</t>
  </si>
  <si>
    <t>Deferred income taxes (current)</t>
  </si>
  <si>
    <t>Prepaid expenses and other current assets</t>
  </si>
  <si>
    <t>Prepaid Exp/Revenue</t>
  </si>
  <si>
    <t>Total current assets</t>
  </si>
  <si>
    <t>Long-term investments</t>
  </si>
  <si>
    <t>Property, equipment and capitalized software, net</t>
  </si>
  <si>
    <t xml:space="preserve">PP&amp;E/Revenue </t>
  </si>
  <si>
    <t>Goodwill</t>
  </si>
  <si>
    <t>revenue growth</t>
  </si>
  <si>
    <t>Other intangible assets, net</t>
  </si>
  <si>
    <t xml:space="preserve">Other Intangibles/Revenue </t>
  </si>
  <si>
    <t>Other assets</t>
  </si>
  <si>
    <t xml:space="preserve">Other assets/revenue </t>
  </si>
  <si>
    <t xml:space="preserve">Total Non Current Assets </t>
  </si>
  <si>
    <t>Total assets</t>
  </si>
  <si>
    <t>Liabilities, redeemable noncontrolling interests and equity</t>
  </si>
  <si>
    <t>Current liabilities:</t>
  </si>
  <si>
    <t>Medical costs payable</t>
  </si>
  <si>
    <t xml:space="preserve">Medical Costs/ COGS </t>
  </si>
  <si>
    <t>Accounts payable and accrued liabilities</t>
  </si>
  <si>
    <t>Account Payable/COGS</t>
  </si>
  <si>
    <t>Short-term borrowings and current maturities of long-term debt</t>
  </si>
  <si>
    <t>Unearned revenues</t>
  </si>
  <si>
    <t>Unearned revenue/revenue</t>
  </si>
  <si>
    <t>Other current liabilities</t>
  </si>
  <si>
    <t xml:space="preserve">OCL/revenue </t>
  </si>
  <si>
    <t>Total current liabilities</t>
  </si>
  <si>
    <t>Long-term debt, less current maturities</t>
  </si>
  <si>
    <t>Deferred income taxes</t>
  </si>
  <si>
    <t xml:space="preserve">Deffered Tax/Revenue </t>
  </si>
  <si>
    <t>Other liabilities</t>
  </si>
  <si>
    <t xml:space="preserve">OL/Revenues </t>
  </si>
  <si>
    <t>Total non current  liabilities</t>
  </si>
  <si>
    <t>Redeemable noncontrolling interests</t>
  </si>
  <si>
    <t>Equity:</t>
  </si>
  <si>
    <t>Common stock</t>
  </si>
  <si>
    <t xml:space="preserve">Additional Paid In Capital </t>
  </si>
  <si>
    <t>Retained earnings</t>
  </si>
  <si>
    <t>Accumulated other comprehensive loss</t>
  </si>
  <si>
    <t>Nonredeemable noncontrolling interests</t>
  </si>
  <si>
    <t>Total equity</t>
  </si>
  <si>
    <t>Total liabilities, redeemable noncontrolling interests and equity</t>
  </si>
  <si>
    <t>\</t>
  </si>
  <si>
    <t>Revenues:</t>
  </si>
  <si>
    <t>Premiums</t>
  </si>
  <si>
    <t>Products</t>
  </si>
  <si>
    <t>Services</t>
  </si>
  <si>
    <t>Investment and other income</t>
  </si>
  <si>
    <t>Operating costs:</t>
  </si>
  <si>
    <t>Medical costs</t>
  </si>
  <si>
    <t>Operating costs</t>
  </si>
  <si>
    <t>Cost of products sold</t>
  </si>
  <si>
    <t>Total operating costs</t>
  </si>
  <si>
    <t>Earnings from operations</t>
  </si>
  <si>
    <t>Earnings before income taxes</t>
  </si>
  <si>
    <t>Net earnings</t>
  </si>
  <si>
    <t>Earnings attributable to noncontrolling interests</t>
  </si>
  <si>
    <t>Net earnings attributable to UNH common shareholders</t>
  </si>
  <si>
    <t>Earnings per share (Basic)</t>
  </si>
  <si>
    <t>Earnings per share (Diluted)</t>
  </si>
  <si>
    <t>Basic weighted-average shares outstanding (millions)</t>
  </si>
  <si>
    <t>Dilutive effect of common share equivalents (millions)</t>
  </si>
  <si>
    <t>Diluted weighted-average shares outstanding (millions)</t>
  </si>
  <si>
    <t>United Health Income Statement - Actuals</t>
  </si>
  <si>
    <t xml:space="preserve">Forecasts </t>
  </si>
  <si>
    <t xml:space="preserve">tax rate </t>
  </si>
  <si>
    <t/>
  </si>
  <si>
    <t>Calculation Of Operating working Capital</t>
  </si>
  <si>
    <t xml:space="preserve">Operating Assets </t>
  </si>
  <si>
    <t xml:space="preserve">Total operating Assets </t>
  </si>
  <si>
    <t xml:space="preserve">Operating Liabilities </t>
  </si>
  <si>
    <t xml:space="preserve">Total Operating Liabilities </t>
  </si>
  <si>
    <t xml:space="preserve">Working Capital </t>
  </si>
  <si>
    <t>Change in NWC</t>
  </si>
  <si>
    <t xml:space="preserve">NWC/Revenue </t>
  </si>
  <si>
    <t xml:space="preserve">Cash </t>
  </si>
  <si>
    <t xml:space="preserve">Non Cash Net Working Capital </t>
  </si>
  <si>
    <t xml:space="preserve">Net Fixed Assets </t>
  </si>
  <si>
    <t xml:space="preserve">Invested Capital </t>
  </si>
  <si>
    <t xml:space="preserve">ROIC </t>
  </si>
  <si>
    <t>1. The net profit margin for 2025 is expected to be 2.70% as per the earnings report.</t>
  </si>
  <si>
    <t xml:space="preserve">2. The operating income for 2025 was 19 Million, Adjusted for one time, non - recurring items for 2.24 Mn </t>
  </si>
  <si>
    <t>3. the company discontinued the AUM disclosure.</t>
  </si>
  <si>
    <t>4. Other Operating Liab include: Health Savings Account (HSA) deposits,Premium rebates payable
Current portion of future policy benefits and Customer balances</t>
  </si>
  <si>
    <t>5. The jump in 2024 is explained by Temporary loans due to the Change Healthcare cyberattack</t>
  </si>
  <si>
    <t xml:space="preserve">6. Management actually expects improvement in costs </t>
  </si>
  <si>
    <t>7. The effective income tax rate decreased due to tax benefits having significantly more impact due to lower pre-tax income in 2025, impacts of net portfolio divestitures, and due to non-deductible losses on the sale of subsidiary and subsidiaries held for sale in 2024.</t>
  </si>
  <si>
    <t>8. The current and long-term portions of CDs are included within other current liabilities</t>
  </si>
  <si>
    <t xml:space="preserve">Calculation Of Free Cash Flows </t>
  </si>
  <si>
    <t xml:space="preserve">EBIT(1-tax) </t>
  </si>
  <si>
    <t xml:space="preserve">(+) Depriciation </t>
  </si>
  <si>
    <t xml:space="preserve">(-) Capex </t>
  </si>
  <si>
    <t xml:space="preserve"> Change in NWC </t>
  </si>
  <si>
    <t xml:space="preserve">Free Cash Flows </t>
  </si>
  <si>
    <t>Terminal Growth Rate</t>
  </si>
  <si>
    <t xml:space="preserve">WACC Calculation </t>
  </si>
  <si>
    <t>2032 FCF x (1+g)</t>
  </si>
  <si>
    <t>hjbjb</t>
  </si>
  <si>
    <t xml:space="preserve">Risk Free Rate </t>
  </si>
  <si>
    <t>Terminal value in 2027</t>
  </si>
  <si>
    <t xml:space="preserve">Market Risk Premium </t>
  </si>
  <si>
    <t>Present Value of Terminal Value</t>
  </si>
  <si>
    <t xml:space="preserve">Beta </t>
  </si>
  <si>
    <t>Present Value of Projected Cash Flows</t>
  </si>
  <si>
    <t xml:space="preserve">Cost Of Equity </t>
  </si>
  <si>
    <t>Total enterprise value (TEV)</t>
  </si>
  <si>
    <t>Value Of Equity</t>
  </si>
  <si>
    <t xml:space="preserve">Non Operating Assets </t>
  </si>
  <si>
    <t xml:space="preserve">YTM </t>
  </si>
  <si>
    <t>Terminal value as % of TEV</t>
  </si>
  <si>
    <t xml:space="preserve">Tax Rate </t>
  </si>
  <si>
    <t xml:space="preserve">Cost Of Debt </t>
  </si>
  <si>
    <t xml:space="preserve">Value Of Debt </t>
  </si>
  <si>
    <t>Valuation</t>
  </si>
  <si>
    <t xml:space="preserve">WACC </t>
  </si>
  <si>
    <t>Perpetuity</t>
  </si>
  <si>
    <t>Enterprise value</t>
  </si>
  <si>
    <t>Outstanding debt</t>
  </si>
  <si>
    <t xml:space="preserve">Short term Borrowings </t>
  </si>
  <si>
    <t xml:space="preserve">Non controlling Interests </t>
  </si>
  <si>
    <t xml:space="preserve">Operating Lease </t>
  </si>
  <si>
    <t>Equity value</t>
  </si>
  <si>
    <t>Shares Outstanding</t>
  </si>
  <si>
    <t>Equity Value Per Share</t>
  </si>
  <si>
    <t>Adj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</si>
</sst>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_(&quot;$&quot;* #,##0.00_);_(&quot;$&quot;* \(#,##0.00\);_(&quot;$&quot;* &quot;-&quot;??_);_(@_)"/>
    <numFmt numFmtId="166" formatCode="&quot;$&quot;#,##0"/>
    <numFmt numFmtId="167" formatCode="&quot;$&quot;#,##0.00000000"/>
    <numFmt numFmtId="168" formatCode="m/d/yy"/>
    <numFmt numFmtId="169" formatCode="0.000"/>
  </numFmts>
  <fonts count="27">
    <font>
      <sz val="10.0"/>
      <color rgb="FF000000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color rgb="FF000000"/>
      <name val="Arial"/>
      <scheme val="minor"/>
    </font>
    <font>
      <b/>
      <sz val="11.0"/>
      <color rgb="FF999999"/>
      <name val="Calibri"/>
    </font>
    <font>
      <color rgb="FF999999"/>
      <name val="Arial"/>
      <scheme val="minor"/>
    </font>
    <font>
      <color theme="1"/>
      <name val="Arial"/>
      <scheme val="minor"/>
    </font>
    <font>
      <sz val="11.0"/>
      <color rgb="FF999999"/>
      <name val="Calibri"/>
    </font>
    <font>
      <color rgb="FFB7B7B7"/>
      <name val="Arial"/>
      <scheme val="minor"/>
    </font>
    <font>
      <sz val="11.0"/>
      <color rgb="FF000000"/>
      <name val="Calibri"/>
    </font>
    <font>
      <sz val="11.0"/>
      <color rgb="FFB7B7B7"/>
      <name val="Calibri"/>
    </font>
    <font>
      <sz val="11.0"/>
      <color rgb="FFFFFFFF"/>
      <name val="Calibri"/>
    </font>
    <font>
      <b/>
      <color rgb="FF000000"/>
      <name val="Arial"/>
      <scheme val="minor"/>
    </font>
    <font>
      <b/>
      <sz val="11.0"/>
      <color rgb="FFFFFFFF"/>
      <name val="Calibri"/>
    </font>
    <font>
      <color rgb="FF0000FF"/>
      <name val="Arial"/>
      <scheme val="minor"/>
    </font>
    <font>
      <sz val="12.0"/>
      <color rgb="FF000000"/>
      <name val="&quot;Times New Roman&quot;"/>
    </font>
    <font>
      <b/>
      <sz val="12.0"/>
      <color rgb="FF000000"/>
      <name val="&quot;Times New Roman&quot;"/>
    </font>
    <font>
      <color rgb="FF434343"/>
      <name val="Arial"/>
      <scheme val="minor"/>
    </font>
    <font>
      <b/>
      <i/>
      <sz val="12.0"/>
      <color rgb="FF000000"/>
      <name val="&quot;Times New Roman&quot;"/>
    </font>
    <font>
      <u/>
      <sz val="12.0"/>
      <color rgb="FF000000"/>
      <name val="&quot;Times New Roman&quot;"/>
    </font>
    <font>
      <sz val="12.0"/>
      <color rgb="FF7030A0"/>
      <name val="&quot;Times New Roman&quot;"/>
    </font>
    <font>
      <i/>
      <sz val="12.0"/>
      <color rgb="FF000000"/>
      <name val="&quot;Times New Roman&quot;"/>
    </font>
    <font>
      <sz val="12.0"/>
      <color rgb="FF0000FF"/>
      <name val="&quot;Times New Roman&quot;"/>
    </font>
    <font>
      <color rgb="FF000000"/>
      <name val="Arial"/>
    </font>
    <font>
      <color rgb="FF000000"/>
      <name val="Helvetica Neue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073763"/>
        <bgColor rgb="FF073763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</fills>
  <borders count="10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/>
    </xf>
    <xf borderId="0" fillId="2" fontId="5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7" numFmtId="10" xfId="0" applyAlignment="1" applyFont="1" applyNumberFormat="1">
      <alignment horizontal="center"/>
    </xf>
    <xf borderId="0" fillId="2" fontId="7" numFmtId="10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0" fontId="1" numFmtId="0" xfId="0" applyFont="1"/>
    <xf borderId="0" fillId="0" fontId="8" numFmtId="164" xfId="0" applyAlignment="1" applyFont="1" applyNumberFormat="1">
      <alignment horizontal="center"/>
    </xf>
    <xf borderId="0" fillId="0" fontId="1" numFmtId="4" xfId="0" applyAlignment="1" applyFont="1" applyNumberFormat="1">
      <alignment horizontal="center" readingOrder="0"/>
    </xf>
    <xf borderId="0" fillId="2" fontId="5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1" numFmtId="10" xfId="0" applyAlignment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4" numFmtId="164" xfId="0" applyBorder="1" applyFont="1" applyNumberFormat="1"/>
    <xf borderId="1" fillId="0" fontId="4" numFmtId="164" xfId="0" applyAlignment="1" applyBorder="1" applyFont="1" applyNumberFormat="1">
      <alignment horizontal="center"/>
    </xf>
    <xf borderId="0" fillId="2" fontId="2" numFmtId="16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2" fillId="0" fontId="10" numFmtId="10" xfId="0" applyAlignment="1" applyBorder="1" applyFont="1" applyNumberFormat="1">
      <alignment horizontal="center"/>
    </xf>
    <xf borderId="2" fillId="0" fontId="7" numFmtId="10" xfId="0" applyAlignment="1" applyBorder="1" applyFont="1" applyNumberFormat="1">
      <alignment horizontal="center"/>
    </xf>
    <xf borderId="0" fillId="2" fontId="7" numFmtId="10" xfId="0" applyAlignment="1" applyFont="1" applyNumberFormat="1">
      <alignment horizontal="center"/>
    </xf>
    <xf borderId="0" fillId="0" fontId="1" numFmtId="164" xfId="0" applyFont="1" applyNumberFormat="1"/>
    <xf borderId="0" fillId="0" fontId="1" numFmtId="10" xfId="0" applyFont="1" applyNumberFormat="1"/>
    <xf borderId="0" fillId="0" fontId="11" numFmtId="0" xfId="0" applyAlignment="1" applyFont="1">
      <alignment horizontal="center" readingOrder="0" shrinkToFit="0" vertical="bottom" wrapText="0"/>
    </xf>
    <xf borderId="0" fillId="0" fontId="11" numFmtId="164" xfId="0" applyAlignment="1" applyFont="1" applyNumberFormat="1">
      <alignment horizontal="center" readingOrder="0" shrinkToFit="0" vertical="bottom" wrapText="0"/>
    </xf>
    <xf borderId="0" fillId="2" fontId="5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0" fillId="0" fontId="9" numFmtId="10" xfId="0" applyAlignment="1" applyFont="1" applyNumberFormat="1">
      <alignment horizontal="center" readingOrder="0" shrinkToFit="0" vertical="bottom" wrapText="0"/>
    </xf>
    <xf borderId="0" fillId="0" fontId="8" numFmtId="10" xfId="0" applyAlignment="1" applyFont="1" applyNumberFormat="1">
      <alignment horizontal="center"/>
    </xf>
    <xf borderId="0" fillId="0" fontId="8" numFmtId="165" xfId="0" applyAlignment="1" applyFont="1" applyNumberFormat="1">
      <alignment horizontal="center"/>
    </xf>
    <xf borderId="0" fillId="0" fontId="11" numFmtId="165" xfId="0" applyAlignment="1" applyFont="1" applyNumberFormat="1">
      <alignment horizontal="center" readingOrder="0" shrinkToFit="0" vertical="bottom" wrapText="0"/>
    </xf>
    <xf borderId="0" fillId="2" fontId="5" numFmtId="165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0" fontId="1" numFmtId="165" xfId="0" applyFont="1" applyNumberFormat="1"/>
    <xf borderId="0" fillId="0" fontId="8" numFmtId="164" xfId="0" applyAlignment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1" fillId="0" fontId="8" numFmtId="164" xfId="0" applyAlignment="1" applyBorder="1" applyFont="1" applyNumberFormat="1">
      <alignment horizontal="center"/>
    </xf>
    <xf borderId="0" fillId="0" fontId="12" numFmtId="0" xfId="0" applyAlignment="1" applyFont="1">
      <alignment horizontal="center" readingOrder="0" shrinkToFit="0" vertical="bottom" wrapText="0"/>
    </xf>
    <xf borderId="3" fillId="0" fontId="4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0" fontId="5" numFmtId="0" xfId="0" applyFont="1"/>
    <xf borderId="0" fillId="0" fontId="5" numFmtId="10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5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2" fontId="11" numFmtId="164" xfId="0" applyAlignment="1" applyFont="1" applyNumberFormat="1">
      <alignment horizontal="center" readingOrder="0" shrinkToFit="0" vertical="bottom" wrapText="0"/>
    </xf>
    <xf borderId="0" fillId="2" fontId="13" numFmtId="0" xfId="0" applyAlignment="1" applyFont="1">
      <alignment horizontal="center" readingOrder="0" shrinkToFit="0" vertical="bottom" wrapText="0"/>
    </xf>
    <xf borderId="0" fillId="2" fontId="11" numFmtId="0" xfId="0" applyAlignment="1" applyFont="1">
      <alignment horizontal="center" readingOrder="0" shrinkToFit="0" vertical="bottom" wrapText="0"/>
    </xf>
    <xf borderId="0" fillId="0" fontId="5" numFmtId="10" xfId="0" applyAlignment="1" applyFont="1" applyNumberFormat="1">
      <alignment horizontal="center" readingOrder="0"/>
    </xf>
    <xf borderId="0" fillId="2" fontId="11" numFmtId="10" xfId="0" applyAlignment="1" applyFont="1" applyNumberFormat="1">
      <alignment horizontal="center" readingOrder="0" shrinkToFit="0" vertical="bottom" wrapText="0"/>
    </xf>
    <xf borderId="0" fillId="2" fontId="13" numFmtId="10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2" fontId="11" numFmtId="166" xfId="0" applyAlignment="1" applyFont="1" applyNumberFormat="1">
      <alignment horizontal="center" readingOrder="0" shrinkToFit="0" vertical="bottom" wrapText="0"/>
    </xf>
    <xf borderId="0" fillId="2" fontId="13" numFmtId="164" xfId="0" applyAlignment="1" applyFont="1" applyNumberFormat="1">
      <alignment horizontal="center" readingOrder="0" shrinkToFit="0" vertical="bottom" wrapText="0"/>
    </xf>
    <xf borderId="0" fillId="0" fontId="7" numFmtId="10" xfId="0" applyAlignment="1" applyFont="1" applyNumberFormat="1">
      <alignment horizontal="center" readingOrder="0"/>
    </xf>
    <xf borderId="0" fillId="2" fontId="9" numFmtId="10" xfId="0" applyAlignment="1" applyFont="1" applyNumberFormat="1">
      <alignment horizontal="center" readingOrder="0" shrinkToFit="0" vertical="bottom" wrapText="0"/>
    </xf>
    <xf borderId="0" fillId="0" fontId="13" numFmtId="165" xfId="0" applyAlignment="1" applyFont="1" applyNumberFormat="1">
      <alignment horizontal="center" readingOrder="0" shrinkToFit="0" vertical="bottom" wrapText="0"/>
    </xf>
    <xf borderId="0" fillId="2" fontId="13" numFmtId="165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14" numFmtId="165" xfId="0" applyAlignment="1" applyBorder="1" applyFont="1" applyNumberFormat="1">
      <alignment horizontal="center" readingOrder="0"/>
    </xf>
    <xf borderId="1" fillId="0" fontId="14" numFmtId="164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14" numFmtId="165" xfId="0" applyAlignment="1" applyBorder="1" applyFont="1" applyNumberFormat="1">
      <alignment horizontal="center" readingOrder="0"/>
    </xf>
    <xf borderId="3" fillId="0" fontId="14" numFmtId="164" xfId="0" applyAlignment="1" applyBorder="1" applyFont="1" applyNumberFormat="1">
      <alignment horizontal="center" readingOrder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4" fillId="0" fontId="3" numFmtId="165" xfId="0" applyAlignment="1" applyBorder="1" applyFont="1" applyNumberForma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11" numFmtId="165" xfId="0" applyAlignment="1" applyFont="1" applyNumberFormat="1">
      <alignment horizontal="center" shrinkToFit="0" vertical="bottom" wrapText="0"/>
    </xf>
    <xf borderId="0" fillId="0" fontId="8" numFmtId="0" xfId="0" applyAlignment="1" applyFont="1">
      <alignment horizontal="center"/>
    </xf>
    <xf borderId="0" fillId="0" fontId="13" numFmtId="164" xfId="0" applyAlignment="1" applyFont="1" applyNumberForma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3" numFmtId="10" xfId="0" applyAlignment="1" applyFont="1" applyNumberFormat="1">
      <alignment horizontal="center" readingOrder="0" shrinkToFit="0" vertical="bottom" wrapText="0"/>
    </xf>
    <xf borderId="0" fillId="0" fontId="1" numFmtId="10" xfId="0" applyAlignment="1" applyFont="1" applyNumberFormat="1">
      <alignment horizontal="center" readingOrder="0"/>
    </xf>
    <xf borderId="0" fillId="0" fontId="9" numFmtId="164" xfId="0" applyAlignment="1" applyFont="1" applyNumberFormat="1">
      <alignment horizontal="center" readingOrder="0" shrinkToFit="0" vertical="bottom" wrapText="0"/>
    </xf>
    <xf borderId="0" fillId="0" fontId="7" numFmtId="164" xfId="0" applyAlignment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0" fillId="0" fontId="15" numFmtId="164" xfId="0" applyAlignment="1" applyFont="1" applyNumberFormat="1">
      <alignment horizontal="center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" numFmtId="10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3" fillId="0" fontId="3" numFmtId="164" xfId="0" applyAlignment="1" applyBorder="1" applyFont="1" applyNumberFormat="1">
      <alignment horizontal="center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1" numFmtId="164" xfId="0" applyAlignment="1" applyFont="1" applyNumberFormat="1">
      <alignment horizontal="center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14" numFmtId="164" xfId="0" applyAlignment="1" applyBorder="1" applyFont="1" applyNumberFormat="1">
      <alignment horizontal="center"/>
    </xf>
    <xf borderId="1" fillId="0" fontId="14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11" numFmtId="164" xfId="0" applyAlignment="1" applyBorder="1" applyFont="1" applyNumberFormat="1">
      <alignment horizontal="center" readingOrder="0" shrinkToFit="0" vertical="bottom" wrapText="0"/>
    </xf>
    <xf borderId="5" fillId="0" fontId="3" numFmtId="164" xfId="0" applyAlignment="1" applyBorder="1" applyFont="1" applyNumberFormat="1">
      <alignment horizontal="center" shrinkToFit="0" vertical="bottom" wrapText="0"/>
    </xf>
    <xf borderId="5" fillId="0" fontId="11" numFmtId="164" xfId="0" applyAlignment="1" applyBorder="1" applyFont="1" applyNumberFormat="1">
      <alignment horizontal="center" readingOrder="0" shrinkToFit="0" vertical="bottom" wrapText="0"/>
    </xf>
    <xf borderId="0" fillId="0" fontId="8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8" numFmtId="10" xfId="0" applyFont="1" applyNumberFormat="1"/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0" fontId="8" numFmtId="0" xfId="0" applyAlignment="1" applyFont="1">
      <alignment readingOrder="0"/>
    </xf>
    <xf borderId="0" fillId="2" fontId="1" numFmtId="0" xfId="0" applyAlignment="1" applyFont="1">
      <alignment horizontal="center"/>
    </xf>
    <xf borderId="6" fillId="6" fontId="1" numFmtId="0" xfId="0" applyAlignment="1" applyBorder="1" applyFill="1" applyFont="1">
      <alignment horizontal="center" readingOrder="0"/>
    </xf>
    <xf borderId="0" fillId="7" fontId="2" numFmtId="0" xfId="0" applyAlignment="1" applyFill="1" applyFont="1">
      <alignment horizontal="center"/>
    </xf>
    <xf borderId="6" fillId="8" fontId="2" numFmtId="0" xfId="0" applyAlignment="1" applyBorder="1" applyFill="1" applyFont="1">
      <alignment horizontal="center"/>
    </xf>
    <xf borderId="0" fillId="8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horizontal="center" readingOrder="0"/>
    </xf>
    <xf borderId="6" fillId="0" fontId="4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/>
    </xf>
    <xf borderId="6" fillId="0" fontId="7" numFmtId="10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/>
    </xf>
    <xf borderId="6" fillId="0" fontId="5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 readingOrder="0"/>
    </xf>
    <xf borderId="7" fillId="0" fontId="4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 shrinkToFit="0" vertical="bottom" wrapText="0"/>
    </xf>
    <xf borderId="1" fillId="0" fontId="7" numFmtId="10" xfId="0" applyAlignment="1" applyBorder="1" applyFont="1" applyNumberFormat="1">
      <alignment horizontal="center"/>
    </xf>
    <xf borderId="6" fillId="0" fontId="10" numFmtId="10" xfId="0" applyAlignment="1" applyBorder="1" applyFont="1" applyNumberFormat="1">
      <alignment horizontal="center"/>
    </xf>
    <xf borderId="5" fillId="0" fontId="4" numFmtId="164" xfId="0" applyAlignment="1" applyBorder="1" applyFont="1" applyNumberFormat="1">
      <alignment horizontal="center"/>
    </xf>
    <xf borderId="0" fillId="0" fontId="11" numFmtId="0" xfId="0" applyAlignment="1" applyFont="1">
      <alignment horizontal="center" shrinkToFit="0" vertical="bottom" wrapText="0"/>
    </xf>
    <xf borderId="6" fillId="0" fontId="8" numFmtId="164" xfId="0" applyAlignment="1" applyBorder="1" applyFont="1" applyNumberFormat="1">
      <alignment horizontal="center"/>
    </xf>
    <xf borderId="0" fillId="0" fontId="9" numFmtId="10" xfId="0" applyAlignment="1" applyFont="1" applyNumberFormat="1">
      <alignment horizontal="center" shrinkToFit="0" vertical="bottom" wrapText="0"/>
    </xf>
    <xf borderId="6" fillId="0" fontId="7" numFmtId="10" xfId="0" applyAlignment="1" applyBorder="1" applyFont="1" applyNumberFormat="1">
      <alignment horizontal="center" readingOrder="0"/>
    </xf>
    <xf borderId="6" fillId="0" fontId="8" numFmtId="165" xfId="0" applyAlignment="1" applyBorder="1" applyFont="1" applyNumberFormat="1">
      <alignment horizontal="center"/>
    </xf>
    <xf borderId="7" fillId="0" fontId="8" numFmtId="164" xfId="0" applyAlignment="1" applyBorder="1" applyFont="1" applyNumberFormat="1">
      <alignment horizontal="center"/>
    </xf>
    <xf borderId="0" fillId="0" fontId="12" numFmtId="0" xfId="0" applyAlignment="1" applyFont="1">
      <alignment horizontal="center" shrinkToFit="0" vertical="bottom" wrapText="0"/>
    </xf>
    <xf borderId="8" fillId="0" fontId="4" numFmtId="164" xfId="0" applyAlignment="1" applyBorder="1" applyFont="1" applyNumberFormat="1">
      <alignment horizontal="center"/>
    </xf>
    <xf quotePrefix="1" borderId="0" fillId="0" fontId="8" numFmtId="0" xfId="0" applyAlignment="1" applyFont="1">
      <alignment readingOrder="0"/>
    </xf>
    <xf borderId="0" fillId="0" fontId="8" numFmtId="167" xfId="0" applyFont="1" applyNumberFormat="1"/>
    <xf borderId="0" fillId="9" fontId="4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0" fontId="8" numFmtId="165" xfId="0" applyFont="1" applyNumberFormat="1"/>
    <xf borderId="0" fillId="0" fontId="8" numFmtId="164" xfId="0" applyFont="1" applyNumberFormat="1"/>
    <xf borderId="0" fillId="2" fontId="5" numFmtId="164" xfId="0" applyFont="1" applyNumberFormat="1"/>
    <xf borderId="0" fillId="2" fontId="5" numFmtId="0" xfId="0" applyFont="1"/>
    <xf borderId="0" fillId="2" fontId="4" numFmtId="164" xfId="0" applyFont="1" applyNumberFormat="1"/>
    <xf borderId="0" fillId="0" fontId="4" numFmtId="0" xfId="0" applyAlignment="1" applyFont="1">
      <alignment horizontal="center" readingOrder="0"/>
    </xf>
    <xf borderId="0" fillId="0" fontId="8" numFmtId="164" xfId="0" applyAlignment="1" applyFont="1" applyNumberFormat="1">
      <alignment readingOrder="0"/>
    </xf>
    <xf borderId="1" fillId="0" fontId="4" numFmtId="165" xfId="0" applyAlignment="1" applyBorder="1" applyFont="1" applyNumberFormat="1">
      <alignment horizontal="center"/>
    </xf>
    <xf borderId="1" fillId="0" fontId="14" numFmtId="165" xfId="0" applyAlignment="1" applyBorder="1" applyFont="1" applyNumberFormat="1">
      <alignment horizontal="center"/>
    </xf>
    <xf borderId="0" fillId="2" fontId="14" numFmtId="165" xfId="0" applyAlignment="1" applyFont="1" applyNumberFormat="1">
      <alignment horizontal="center"/>
    </xf>
    <xf borderId="0" fillId="0" fontId="7" numFmtId="165" xfId="0" applyFont="1" applyNumberFormat="1"/>
    <xf borderId="0" fillId="0" fontId="5" numFmtId="165" xfId="0" applyFont="1" applyNumberFormat="1"/>
    <xf borderId="0" fillId="0" fontId="7" numFmtId="10" xfId="0" applyFont="1" applyNumberFormat="1"/>
    <xf borderId="0" fillId="0" fontId="10" numFmtId="10" xfId="0" applyFont="1" applyNumberFormat="1"/>
    <xf borderId="0" fillId="2" fontId="8" numFmtId="0" xfId="0" applyFont="1"/>
    <xf borderId="0" fillId="0" fontId="4" numFmtId="10" xfId="0" applyFont="1" applyNumberFormat="1"/>
    <xf borderId="0" fillId="0" fontId="16" numFmtId="0" xfId="0" applyAlignment="1" applyFont="1">
      <alignment readingOrder="0"/>
    </xf>
    <xf borderId="0" fillId="0" fontId="16" numFmtId="0" xfId="0" applyFont="1"/>
    <xf borderId="0" fillId="8" fontId="2" numFmtId="0" xfId="0" applyAlignment="1" applyFont="1">
      <alignment horizontal="center" readingOrder="0"/>
    </xf>
    <xf borderId="0" fillId="2" fontId="8" numFmtId="0" xfId="0" applyAlignment="1" applyFont="1">
      <alignment horizontal="center"/>
    </xf>
    <xf borderId="0" fillId="2" fontId="8" numFmtId="165" xfId="0" applyAlignment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7" numFmtId="0" xfId="0" applyAlignment="1" applyFont="1">
      <alignment readingOrder="0" shrinkToFit="0" vertical="bottom" wrapText="0"/>
    </xf>
    <xf borderId="0" fillId="2" fontId="17" numFmtId="0" xfId="0" applyAlignment="1" applyFont="1">
      <alignment shrinkToFit="0" vertical="bottom" wrapText="0"/>
    </xf>
    <xf borderId="0" fillId="0" fontId="17" numFmtId="10" xfId="0" applyAlignment="1" applyFont="1" applyNumberFormat="1">
      <alignment horizontal="right" readingOrder="0" shrinkToFit="0" vertical="bottom" wrapText="0"/>
    </xf>
    <xf borderId="0" fillId="3" fontId="2" numFmtId="0" xfId="0" applyAlignment="1" applyFont="1">
      <alignment horizontal="center" readingOrder="0"/>
    </xf>
    <xf borderId="0" fillId="0" fontId="17" numFmtId="166" xfId="0" applyAlignment="1" applyFont="1" applyNumberFormat="1">
      <alignment readingOrder="0" shrinkToFit="0" vertical="bottom" wrapText="0"/>
    </xf>
    <xf borderId="9" fillId="0" fontId="5" numFmtId="0" xfId="0" applyAlignment="1" applyBorder="1" applyFont="1">
      <alignment horizontal="center" readingOrder="0"/>
    </xf>
    <xf borderId="9" fillId="0" fontId="5" numFmtId="10" xfId="0" applyAlignment="1" applyBorder="1" applyFont="1" applyNumberFormat="1">
      <alignment horizontal="center" readingOrder="0"/>
    </xf>
    <xf borderId="0" fillId="0" fontId="17" numFmtId="3" xfId="0" applyAlignment="1" applyFont="1" applyNumberFormat="1">
      <alignment horizontal="right" readingOrder="0" shrinkToFit="0" vertical="bottom" wrapText="0"/>
    </xf>
    <xf borderId="9" fillId="0" fontId="5" numFmtId="10" xfId="0" applyAlignment="1" applyBorder="1" applyFont="1" applyNumberFormat="1">
      <alignment horizontal="center"/>
    </xf>
    <xf borderId="2" fillId="0" fontId="18" numFmtId="0" xfId="0" applyAlignment="1" applyBorder="1" applyFont="1">
      <alignment readingOrder="0" shrinkToFit="0" vertical="bottom" wrapText="0"/>
    </xf>
    <xf borderId="2" fillId="2" fontId="17" numFmtId="0" xfId="0" applyAlignment="1" applyBorder="1" applyFont="1">
      <alignment shrinkToFit="0" vertical="bottom" wrapText="0"/>
    </xf>
    <xf borderId="2" fillId="0" fontId="18" numFmtId="166" xfId="0" applyAlignment="1" applyBorder="1" applyFont="1" applyNumberFormat="1">
      <alignment readingOrder="0" shrinkToFit="0" vertical="bottom" wrapText="0"/>
    </xf>
    <xf borderId="9" fillId="0" fontId="5" numFmtId="164" xfId="0" applyAlignment="1" applyBorder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17" numFmtId="164" xfId="0" applyAlignment="1" applyFont="1" applyNumberFormat="1">
      <alignment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7" numFmtId="10" xfId="0" applyAlignment="1" applyFont="1" applyNumberFormat="1">
      <alignment shrinkToFit="0" vertical="bottom" wrapText="0"/>
    </xf>
    <xf borderId="9" fillId="0" fontId="5" numFmtId="9" xfId="0" applyAlignment="1" applyBorder="1" applyFont="1" applyNumberFormat="1">
      <alignment horizontal="center" readingOrder="0"/>
    </xf>
    <xf borderId="0" fillId="0" fontId="17" numFmtId="0" xfId="0" applyAlignment="1" applyFont="1">
      <alignment horizontal="left" shrinkToFit="0" vertical="bottom" wrapText="0"/>
    </xf>
    <xf borderId="0" fillId="0" fontId="17" numFmtId="0" xfId="0" applyAlignment="1" applyFont="1">
      <alignment shrinkToFit="0" vertical="bottom" wrapText="0"/>
    </xf>
    <xf borderId="2" fillId="2" fontId="20" numFmtId="0" xfId="0" applyAlignment="1" applyBorder="1" applyFont="1">
      <alignment readingOrder="0" shrinkToFit="0" vertical="bottom" wrapText="0"/>
    </xf>
    <xf borderId="2" fillId="2" fontId="18" numFmtId="0" xfId="0" applyAlignment="1" applyBorder="1" applyFont="1">
      <alignment shrinkToFit="0" vertical="bottom" wrapText="0"/>
    </xf>
    <xf borderId="9" fillId="0" fontId="14" numFmtId="0" xfId="0" applyAlignment="1" applyBorder="1" applyFont="1">
      <alignment horizontal="center" readingOrder="0"/>
    </xf>
    <xf borderId="9" fillId="0" fontId="14" numFmtId="10" xfId="0" applyAlignment="1" applyBorder="1" applyFont="1" applyNumberFormat="1">
      <alignment horizontal="center" readingOrder="0"/>
    </xf>
    <xf borderId="0" fillId="0" fontId="21" numFmtId="0" xfId="0" applyAlignment="1" applyFont="1">
      <alignment horizontal="center" readingOrder="0" shrinkToFit="0" vertical="bottom" wrapText="0"/>
    </xf>
    <xf borderId="0" fillId="2" fontId="22" numFmtId="166" xfId="0" applyAlignment="1" applyFont="1" applyNumberFormat="1">
      <alignment horizontal="right" readingOrder="0" shrinkToFit="0" vertical="bottom" wrapText="0"/>
    </xf>
    <xf borderId="0" fillId="0" fontId="1" numFmtId="9" xfId="0" applyAlignment="1" applyFont="1" applyNumberFormat="1">
      <alignment horizontal="center"/>
    </xf>
    <xf borderId="0" fillId="2" fontId="23" numFmtId="0" xfId="0" applyAlignment="1" applyFont="1">
      <alignment horizontal="right" shrinkToFit="0" vertical="bottom" wrapText="0"/>
    </xf>
    <xf borderId="0" fillId="2" fontId="24" numFmtId="3" xfId="0" applyAlignment="1" applyFont="1" applyNumberFormat="1">
      <alignment horizontal="right" readingOrder="0" shrinkToFit="0" vertical="bottom" wrapText="0"/>
    </xf>
    <xf borderId="0" fillId="2" fontId="17" numFmtId="0" xfId="0" applyAlignment="1" applyFont="1">
      <alignment horizontal="right" shrinkToFit="0" vertical="bottom" wrapText="0"/>
    </xf>
    <xf borderId="0" fillId="2" fontId="17" numFmtId="3" xfId="0" applyAlignment="1" applyFont="1" applyNumberFormat="1">
      <alignment horizontal="right" readingOrder="0" shrinkToFit="0" vertical="bottom" wrapText="0"/>
    </xf>
    <xf borderId="2" fillId="2" fontId="18" numFmtId="0" xfId="0" applyAlignment="1" applyBorder="1" applyFont="1">
      <alignment horizontal="right" shrinkToFit="0" vertical="bottom" wrapText="0"/>
    </xf>
    <xf borderId="2" fillId="2" fontId="18" numFmtId="164" xfId="0" applyAlignment="1" applyBorder="1" applyFont="1" applyNumberForma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5" numFmtId="164" xfId="0" applyAlignment="1" applyFont="1" applyNumberFormat="1">
      <alignment horizontal="right" readingOrder="0" shrinkToFit="0" vertical="bottom" wrapText="0"/>
    </xf>
    <xf borderId="0" fillId="0" fontId="25" numFmtId="10" xfId="0" applyAlignment="1" applyFont="1" applyNumberFormat="1">
      <alignment horizontal="right"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0" fillId="0" fontId="25" numFmtId="9" xfId="0" applyAlignment="1" applyFont="1" applyNumberFormat="1">
      <alignment horizontal="right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5" numFmtId="9" xfId="0" applyAlignment="1" applyFont="1" applyNumberFormat="1">
      <alignment horizontal="right" readingOrder="0" shrinkToFit="0" vertical="bottom" wrapText="0"/>
    </xf>
    <xf borderId="0" fillId="0" fontId="25" numFmtId="10" xfId="0" applyAlignment="1" applyFont="1" applyNumberFormat="1">
      <alignment horizontal="right" readingOrder="0" shrinkToFit="0" vertical="bottom" wrapText="0"/>
    </xf>
    <xf borderId="0" fillId="0" fontId="11" numFmtId="168" xfId="0" applyAlignment="1" applyFont="1" applyNumberFormat="1">
      <alignment horizontal="right" readingOrder="0" shrinkToFit="0" vertical="bottom" wrapText="0"/>
    </xf>
    <xf borderId="9" fillId="0" fontId="26" numFmtId="0" xfId="0" applyAlignment="1" applyBorder="1" applyFont="1">
      <alignment readingOrder="0" vertical="top"/>
    </xf>
    <xf borderId="9" fillId="0" fontId="26" numFmtId="4" xfId="0" applyAlignment="1" applyBorder="1" applyFont="1" applyNumberFormat="1">
      <alignment readingOrder="0" vertical="top"/>
    </xf>
    <xf borderId="0" fillId="0" fontId="8" numFmtId="169" xfId="0" applyFont="1" applyNumberFormat="1"/>
    <xf borderId="9" fillId="0" fontId="26" numFmtId="10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8.38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2">
        <v>12.0</v>
      </c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0</v>
      </c>
      <c r="M2" s="5"/>
      <c r="N2" s="6"/>
      <c r="O2" s="6"/>
      <c r="P2" s="6"/>
      <c r="Q2" s="6"/>
      <c r="R2" s="6"/>
      <c r="S2" s="6"/>
      <c r="T2" s="6"/>
      <c r="U2" s="6"/>
      <c r="V2" s="6"/>
    </row>
    <row r="3">
      <c r="B3" s="7">
        <v>2014.0</v>
      </c>
      <c r="C3" s="7">
        <v>2015.0</v>
      </c>
      <c r="D3" s="7">
        <v>2016.0</v>
      </c>
      <c r="E3" s="7">
        <v>2017.0</v>
      </c>
      <c r="F3" s="7">
        <v>2018.0</v>
      </c>
      <c r="G3" s="7">
        <v>2019.0</v>
      </c>
      <c r="H3" s="7">
        <v>2020.0</v>
      </c>
      <c r="I3" s="7">
        <v>2021.0</v>
      </c>
      <c r="J3" s="7">
        <v>2022.0</v>
      </c>
      <c r="K3" s="7">
        <v>2023.0</v>
      </c>
      <c r="L3" s="7">
        <v>2024.0</v>
      </c>
      <c r="M3" s="7">
        <v>2025.0</v>
      </c>
      <c r="N3" s="8">
        <v>2026.0</v>
      </c>
      <c r="O3" s="8">
        <v>2027.0</v>
      </c>
      <c r="P3" s="8">
        <v>2028.0</v>
      </c>
      <c r="Q3" s="8">
        <v>2029.0</v>
      </c>
      <c r="R3" s="8">
        <v>2030.0</v>
      </c>
      <c r="S3" s="8">
        <v>2031.0</v>
      </c>
      <c r="T3" s="8">
        <v>2032.0</v>
      </c>
      <c r="U3" s="8">
        <v>2033.0</v>
      </c>
      <c r="V3" s="8">
        <v>2034.0</v>
      </c>
    </row>
    <row r="4">
      <c r="A4" s="9" t="s">
        <v>1</v>
      </c>
      <c r="B4" s="10">
        <v>130474.0</v>
      </c>
      <c r="C4" s="10">
        <v>157107.0</v>
      </c>
      <c r="D4" s="10">
        <v>184840.0</v>
      </c>
      <c r="E4" s="10">
        <v>201159.0</v>
      </c>
      <c r="F4" s="10">
        <v>226247.0</v>
      </c>
      <c r="G4" s="10">
        <v>242155.0</v>
      </c>
      <c r="H4" s="10">
        <v>257141.0</v>
      </c>
      <c r="I4" s="10">
        <v>287597.0</v>
      </c>
      <c r="J4" s="10">
        <v>324162.0</v>
      </c>
      <c r="K4" s="10">
        <v>371622.0</v>
      </c>
      <c r="L4" s="10">
        <v>400278.0</v>
      </c>
      <c r="M4" s="11">
        <f>FS_Forecast!M4</f>
        <v>447567</v>
      </c>
      <c r="N4" s="12">
        <v>439000.0</v>
      </c>
      <c r="O4" s="13">
        <f t="shared" ref="O4:V4" si="1">N4*(1+O5)</f>
        <v>445083.9832</v>
      </c>
      <c r="P4" s="13">
        <f t="shared" si="1"/>
        <v>465940.0542</v>
      </c>
      <c r="Q4" s="13">
        <f t="shared" si="1"/>
        <v>503149.436</v>
      </c>
      <c r="R4" s="13">
        <f t="shared" si="1"/>
        <v>540542.864</v>
      </c>
      <c r="S4" s="13">
        <f t="shared" si="1"/>
        <v>577720.7167</v>
      </c>
      <c r="T4" s="13">
        <f t="shared" si="1"/>
        <v>614255.0421</v>
      </c>
      <c r="U4" s="13">
        <f t="shared" si="1"/>
        <v>649696.779</v>
      </c>
      <c r="V4" s="13">
        <f t="shared" si="1"/>
        <v>683545.9812</v>
      </c>
    </row>
    <row r="5">
      <c r="A5" s="14" t="s">
        <v>2</v>
      </c>
      <c r="B5" s="15" t="s">
        <v>3</v>
      </c>
      <c r="C5" s="16">
        <f t="shared" ref="C5:N5" si="2">(C4/B4)-1</f>
        <v>0.2041249598</v>
      </c>
      <c r="D5" s="16">
        <f t="shared" si="2"/>
        <v>0.1765230066</v>
      </c>
      <c r="E5" s="16">
        <f t="shared" si="2"/>
        <v>0.08828716728</v>
      </c>
      <c r="F5" s="16">
        <f t="shared" si="2"/>
        <v>0.1247172635</v>
      </c>
      <c r="G5" s="16">
        <f t="shared" si="2"/>
        <v>0.07031253453</v>
      </c>
      <c r="H5" s="16">
        <f t="shared" si="2"/>
        <v>0.06188598212</v>
      </c>
      <c r="I5" s="16">
        <f t="shared" si="2"/>
        <v>0.1184408554</v>
      </c>
      <c r="J5" s="16">
        <f t="shared" si="2"/>
        <v>0.1271397129</v>
      </c>
      <c r="K5" s="16">
        <f t="shared" si="2"/>
        <v>0.1464082773</v>
      </c>
      <c r="L5" s="16">
        <f t="shared" si="2"/>
        <v>0.0771106124</v>
      </c>
      <c r="M5" s="17">
        <f t="shared" si="2"/>
        <v>0.1181403924</v>
      </c>
      <c r="N5" s="18">
        <f t="shared" si="2"/>
        <v>-0.01914126823</v>
      </c>
      <c r="O5" s="18">
        <f t="shared" ref="O5:Q5" si="3">N5+3.3%</f>
        <v>0.01385873177</v>
      </c>
      <c r="P5" s="18">
        <f t="shared" si="3"/>
        <v>0.04685873177</v>
      </c>
      <c r="Q5" s="18">
        <f t="shared" si="3"/>
        <v>0.07985873177</v>
      </c>
      <c r="R5" s="18">
        <f>Q5-R6</f>
        <v>0.07431873177</v>
      </c>
      <c r="S5" s="18">
        <f>R5-R6</f>
        <v>0.06877873177</v>
      </c>
      <c r="T5" s="18">
        <f>S5-R6</f>
        <v>0.06323873177</v>
      </c>
      <c r="U5" s="18">
        <f>T5-R6</f>
        <v>0.05769873177</v>
      </c>
      <c r="V5" s="18">
        <v>0.0521</v>
      </c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</row>
    <row r="6">
      <c r="A6" s="9"/>
      <c r="B6" s="20"/>
      <c r="C6" s="21"/>
      <c r="D6" s="21">
        <v>1.0</v>
      </c>
      <c r="E6" s="21">
        <v>2.0</v>
      </c>
      <c r="F6" s="21">
        <v>3.0</v>
      </c>
      <c r="G6" s="21"/>
      <c r="H6" s="21"/>
      <c r="I6" s="21">
        <v>4.0</v>
      </c>
      <c r="J6" s="21">
        <v>5.0</v>
      </c>
      <c r="K6" s="21">
        <v>6.0</v>
      </c>
      <c r="L6" s="21">
        <v>7.0</v>
      </c>
      <c r="M6" s="22"/>
      <c r="N6" s="23"/>
      <c r="O6" s="23"/>
      <c r="P6" s="23"/>
      <c r="Q6" s="23"/>
      <c r="R6" s="24">
        <f>2.77/500</f>
        <v>0.00554</v>
      </c>
      <c r="S6" s="23"/>
      <c r="T6" s="23"/>
      <c r="U6" s="23"/>
      <c r="V6" s="23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</row>
    <row r="7">
      <c r="A7" s="25" t="s">
        <v>4</v>
      </c>
      <c r="B7" s="26">
        <f>FS_Forecast!B7</f>
        <v>118722</v>
      </c>
      <c r="C7" s="26">
        <f>FS_Forecast!C7</f>
        <v>146068</v>
      </c>
      <c r="D7" s="26">
        <f>FS_Forecast!D7</f>
        <v>171910</v>
      </c>
      <c r="E7" s="26">
        <f>FS_Forecast!E7</f>
        <v>185950</v>
      </c>
      <c r="F7" s="26">
        <f>FS_Forecast!F7</f>
        <v>208903</v>
      </c>
      <c r="G7" s="26">
        <f>FS_Forecast!G7</f>
        <v>222470</v>
      </c>
      <c r="H7" s="27">
        <f>FS_Forecast!H7</f>
        <v>234736</v>
      </c>
      <c r="I7" s="27">
        <f>FS_Forecast!I7</f>
        <v>260524</v>
      </c>
      <c r="J7" s="27">
        <f>FS_Forecast!J7</f>
        <v>295727</v>
      </c>
      <c r="K7" s="27">
        <f>FS_Forecast!K7</f>
        <v>339264</v>
      </c>
      <c r="L7" s="27">
        <f>FS_Forecast!L7</f>
        <v>367991</v>
      </c>
      <c r="M7" s="27">
        <f>FS_Forecast!M7</f>
        <v>424242</v>
      </c>
      <c r="N7" s="28">
        <v>399182.7</v>
      </c>
      <c r="O7" s="28">
        <v>404685.99893914204</v>
      </c>
      <c r="P7" s="28">
        <v>423619.80661426263</v>
      </c>
      <c r="Q7" s="28">
        <v>457418.91291839845</v>
      </c>
      <c r="R7" s="28">
        <v>491380.62801595795</v>
      </c>
      <c r="S7" s="28">
        <v>525141.6300765695</v>
      </c>
      <c r="T7" s="28">
        <v>558312.9449736747</v>
      </c>
      <c r="U7" s="28">
        <v>590486.5192463867</v>
      </c>
      <c r="V7" s="28">
        <v>621250.8668991234</v>
      </c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</row>
    <row r="8">
      <c r="A8" s="29" t="s">
        <v>5</v>
      </c>
      <c r="B8" s="30">
        <f t="shared" ref="B8:L8" si="4">B7/B4</f>
        <v>0.9099284149</v>
      </c>
      <c r="C8" s="30">
        <f t="shared" si="4"/>
        <v>0.9297357852</v>
      </c>
      <c r="D8" s="31">
        <f t="shared" si="4"/>
        <v>0.9300476087</v>
      </c>
      <c r="E8" s="31">
        <f t="shared" si="4"/>
        <v>0.9243931417</v>
      </c>
      <c r="F8" s="31">
        <f t="shared" si="4"/>
        <v>0.92334042</v>
      </c>
      <c r="G8" s="31">
        <f t="shared" si="4"/>
        <v>0.9187090913</v>
      </c>
      <c r="H8" s="31">
        <f t="shared" si="4"/>
        <v>0.9128688152</v>
      </c>
      <c r="I8" s="31">
        <f t="shared" si="4"/>
        <v>0.9058648039</v>
      </c>
      <c r="J8" s="31">
        <f t="shared" si="4"/>
        <v>0.9122815136</v>
      </c>
      <c r="K8" s="31">
        <f t="shared" si="4"/>
        <v>0.9129276523</v>
      </c>
      <c r="L8" s="31">
        <f t="shared" si="4"/>
        <v>0.9193385597</v>
      </c>
      <c r="M8" s="32">
        <f>FS_Forecast!M8</f>
        <v>0.9478848977</v>
      </c>
      <c r="N8" s="18">
        <v>0.9093</v>
      </c>
      <c r="O8" s="18">
        <v>0.9093</v>
      </c>
      <c r="P8" s="18">
        <v>0.9093</v>
      </c>
      <c r="Q8" s="18">
        <v>0.9093</v>
      </c>
      <c r="R8" s="18">
        <v>0.9093</v>
      </c>
      <c r="S8" s="18">
        <v>0.9093</v>
      </c>
      <c r="T8" s="18">
        <v>0.9093</v>
      </c>
      <c r="U8" s="18">
        <v>0.9093</v>
      </c>
      <c r="V8" s="18">
        <v>0.9093</v>
      </c>
      <c r="X8" s="19"/>
      <c r="Y8" s="19" t="s">
        <v>4</v>
      </c>
      <c r="Z8" s="33">
        <v>118722.0</v>
      </c>
      <c r="AA8" s="33">
        <v>144393.0</v>
      </c>
      <c r="AB8" s="33">
        <v>169855.0</v>
      </c>
      <c r="AC8" s="33">
        <v>183705.0</v>
      </c>
      <c r="AD8" s="33">
        <v>206475.0</v>
      </c>
      <c r="AE8" s="33">
        <v>219750.0</v>
      </c>
      <c r="AF8" s="33">
        <v>231845.0</v>
      </c>
      <c r="AG8" s="33">
        <v>260524.0</v>
      </c>
      <c r="AH8" s="33">
        <v>292327.0</v>
      </c>
      <c r="AI8" s="33">
        <v>335292.0</v>
      </c>
      <c r="AJ8" s="33">
        <v>363892.0</v>
      </c>
      <c r="AK8" s="33">
        <v>406985.2650829725</v>
      </c>
      <c r="AL8" s="33">
        <v>399182.7</v>
      </c>
      <c r="AM8" s="33">
        <v>404685.99893914204</v>
      </c>
      <c r="AN8" s="33">
        <v>423619.80661426263</v>
      </c>
      <c r="AO8" s="33">
        <v>457418.91291839845</v>
      </c>
      <c r="AP8" s="33">
        <v>491380.62801595795</v>
      </c>
      <c r="AQ8" s="33">
        <v>525141.6300765695</v>
      </c>
      <c r="AR8" s="33">
        <v>558312.9449736747</v>
      </c>
      <c r="AS8" s="33">
        <v>590486.5192463867</v>
      </c>
      <c r="AT8" s="33">
        <v>621250.8668991234</v>
      </c>
    </row>
    <row r="9">
      <c r="A9" s="9" t="s">
        <v>6</v>
      </c>
      <c r="B9" s="27">
        <f t="shared" ref="B9:V9" si="5">B4-B7</f>
        <v>11752</v>
      </c>
      <c r="C9" s="27">
        <f t="shared" si="5"/>
        <v>11039</v>
      </c>
      <c r="D9" s="27">
        <f t="shared" si="5"/>
        <v>12930</v>
      </c>
      <c r="E9" s="27">
        <f t="shared" si="5"/>
        <v>15209</v>
      </c>
      <c r="F9" s="27">
        <f t="shared" si="5"/>
        <v>17344</v>
      </c>
      <c r="G9" s="27">
        <f t="shared" si="5"/>
        <v>19685</v>
      </c>
      <c r="H9" s="27">
        <f t="shared" si="5"/>
        <v>22405</v>
      </c>
      <c r="I9" s="27">
        <f t="shared" si="5"/>
        <v>27073</v>
      </c>
      <c r="J9" s="27">
        <f t="shared" si="5"/>
        <v>28435</v>
      </c>
      <c r="K9" s="27">
        <f t="shared" si="5"/>
        <v>32358</v>
      </c>
      <c r="L9" s="27">
        <f t="shared" si="5"/>
        <v>32287</v>
      </c>
      <c r="M9" s="27">
        <f t="shared" si="5"/>
        <v>23325</v>
      </c>
      <c r="N9" s="13">
        <f t="shared" si="5"/>
        <v>39817.3</v>
      </c>
      <c r="O9" s="13">
        <f t="shared" si="5"/>
        <v>40397.98431</v>
      </c>
      <c r="P9" s="13">
        <f t="shared" si="5"/>
        <v>42320.24761</v>
      </c>
      <c r="Q9" s="13">
        <f t="shared" si="5"/>
        <v>45730.52312</v>
      </c>
      <c r="R9" s="13">
        <f t="shared" si="5"/>
        <v>49162.236</v>
      </c>
      <c r="S9" s="13">
        <f t="shared" si="5"/>
        <v>52579.08659</v>
      </c>
      <c r="T9" s="13">
        <f t="shared" si="5"/>
        <v>55942.09713</v>
      </c>
      <c r="U9" s="13">
        <f t="shared" si="5"/>
        <v>59210.25976</v>
      </c>
      <c r="V9" s="13">
        <f t="shared" si="5"/>
        <v>62295.1143</v>
      </c>
      <c r="X9" s="19"/>
      <c r="Y9" s="19" t="s">
        <v>5</v>
      </c>
      <c r="Z9" s="34">
        <v>0.9099284148565998</v>
      </c>
      <c r="AA9" s="34">
        <v>0.9190742614905765</v>
      </c>
      <c r="AB9" s="34">
        <v>0.9189298853062108</v>
      </c>
      <c r="AC9" s="34">
        <v>0.9132328158322521</v>
      </c>
      <c r="AD9" s="34">
        <v>0.9126087859728527</v>
      </c>
      <c r="AE9" s="34">
        <v>0.9074766162168859</v>
      </c>
      <c r="AF9" s="34">
        <v>0.9016259561874613</v>
      </c>
      <c r="AG9" s="34">
        <v>0.9058648038748666</v>
      </c>
      <c r="AH9" s="34">
        <v>0.9017929306951462</v>
      </c>
      <c r="AI9" s="34">
        <v>0.9022393722653664</v>
      </c>
      <c r="AJ9" s="34">
        <v>0.9090981767671469</v>
      </c>
      <c r="AK9" s="34">
        <v>0.9092610926786695</v>
      </c>
      <c r="AL9" s="34">
        <v>0.9093</v>
      </c>
      <c r="AM9" s="34">
        <v>0.9093</v>
      </c>
      <c r="AN9" s="34">
        <v>0.9093</v>
      </c>
      <c r="AO9" s="34">
        <v>0.9093</v>
      </c>
      <c r="AP9" s="34">
        <v>0.9093</v>
      </c>
      <c r="AQ9" s="34">
        <v>0.9093</v>
      </c>
      <c r="AR9" s="34">
        <v>0.9093</v>
      </c>
      <c r="AS9" s="34">
        <v>0.9093</v>
      </c>
      <c r="AT9" s="34">
        <v>0.9093</v>
      </c>
    </row>
    <row r="10">
      <c r="A10" s="29" t="s">
        <v>5</v>
      </c>
      <c r="B10" s="16">
        <f t="shared" ref="B10:L10" si="6">B9/B4</f>
        <v>0.09007158514</v>
      </c>
      <c r="C10" s="16">
        <f t="shared" si="6"/>
        <v>0.07026421483</v>
      </c>
      <c r="D10" s="16">
        <f t="shared" si="6"/>
        <v>0.06995239126</v>
      </c>
      <c r="E10" s="16">
        <f t="shared" si="6"/>
        <v>0.07560685826</v>
      </c>
      <c r="F10" s="16">
        <f t="shared" si="6"/>
        <v>0.07665958002</v>
      </c>
      <c r="G10" s="16">
        <f t="shared" si="6"/>
        <v>0.08129090872</v>
      </c>
      <c r="H10" s="16">
        <f t="shared" si="6"/>
        <v>0.08713118484</v>
      </c>
      <c r="I10" s="16">
        <f t="shared" si="6"/>
        <v>0.09413519613</v>
      </c>
      <c r="J10" s="16">
        <f t="shared" si="6"/>
        <v>0.08771848644</v>
      </c>
      <c r="K10" s="16">
        <f t="shared" si="6"/>
        <v>0.08707234771</v>
      </c>
      <c r="L10" s="16">
        <f t="shared" si="6"/>
        <v>0.0806614403</v>
      </c>
      <c r="M10" s="32">
        <f>FS_Forecast!M10</f>
        <v>0.05211510232</v>
      </c>
      <c r="N10" s="24">
        <f t="shared" ref="N10:V10" si="7">N9/N4</f>
        <v>0.0907</v>
      </c>
      <c r="O10" s="24">
        <f t="shared" si="7"/>
        <v>0.09076485748</v>
      </c>
      <c r="P10" s="24">
        <f t="shared" si="7"/>
        <v>0.09082766599</v>
      </c>
      <c r="Q10" s="24">
        <f t="shared" si="7"/>
        <v>0.09088855088</v>
      </c>
      <c r="R10" s="24">
        <f t="shared" si="7"/>
        <v>0.09094974565</v>
      </c>
      <c r="S10" s="24">
        <f t="shared" si="7"/>
        <v>0.09101125349</v>
      </c>
      <c r="T10" s="24">
        <f t="shared" si="7"/>
        <v>0.09107307762</v>
      </c>
      <c r="U10" s="24">
        <f t="shared" si="7"/>
        <v>0.09113522135</v>
      </c>
      <c r="V10" s="24">
        <f t="shared" si="7"/>
        <v>0.09113522135</v>
      </c>
      <c r="X10" s="19"/>
      <c r="Y10" s="19" t="s">
        <v>6</v>
      </c>
      <c r="Z10" s="33">
        <v>11752.0</v>
      </c>
      <c r="AA10" s="33">
        <v>12714.0</v>
      </c>
      <c r="AB10" s="33">
        <v>14985.0</v>
      </c>
      <c r="AC10" s="33">
        <v>17454.0</v>
      </c>
      <c r="AD10" s="33">
        <v>19772.0</v>
      </c>
      <c r="AE10" s="33">
        <v>22405.0</v>
      </c>
      <c r="AF10" s="33">
        <v>25296.0</v>
      </c>
      <c r="AG10" s="33">
        <v>27073.0</v>
      </c>
      <c r="AH10" s="33">
        <v>31835.0</v>
      </c>
      <c r="AI10" s="33">
        <v>36330.0</v>
      </c>
      <c r="AJ10" s="33">
        <v>36386.0</v>
      </c>
      <c r="AK10" s="33">
        <v>40614.73491702753</v>
      </c>
      <c r="AL10" s="33">
        <v>39817.29999999999</v>
      </c>
      <c r="AM10" s="33">
        <v>40366.23787944595</v>
      </c>
      <c r="AN10" s="33">
        <v>42254.829495121085</v>
      </c>
      <c r="AO10" s="33">
        <v>45626.19091795746</v>
      </c>
      <c r="AP10" s="33">
        <v>49013.77208957152</v>
      </c>
      <c r="AQ10" s="33">
        <v>52381.332726212335</v>
      </c>
      <c r="AR10" s="33">
        <v>55690.073803048814</v>
      </c>
      <c r="AS10" s="33">
        <v>58899.29318777879</v>
      </c>
      <c r="AT10" s="33">
        <v>61967.94636286213</v>
      </c>
    </row>
    <row r="11">
      <c r="A11" s="35" t="s">
        <v>7</v>
      </c>
      <c r="B11" s="20">
        <f t="shared" ref="B11:C11" si="8">H311</f>
        <v>1478</v>
      </c>
      <c r="C11" s="20">
        <f t="shared" si="8"/>
        <v>1693</v>
      </c>
      <c r="D11" s="20">
        <f t="shared" ref="D11:F11" si="9">B311</f>
        <v>2055</v>
      </c>
      <c r="E11" s="20">
        <f t="shared" si="9"/>
        <v>2245</v>
      </c>
      <c r="F11" s="20">
        <f t="shared" si="9"/>
        <v>2428</v>
      </c>
      <c r="G11" s="36">
        <v>2720.0</v>
      </c>
      <c r="H11" s="36">
        <v>2891.0</v>
      </c>
      <c r="I11" s="36">
        <v>3103.0</v>
      </c>
      <c r="J11" s="36">
        <v>3400.0</v>
      </c>
      <c r="K11" s="36">
        <v>3972.0</v>
      </c>
      <c r="L11" s="36">
        <v>4099.0</v>
      </c>
      <c r="M11" s="37">
        <f>FS_Forecast!M11</f>
        <v>4361</v>
      </c>
      <c r="N11" s="38">
        <f t="shared" ref="N11:V11" si="10">N4*N12</f>
        <v>4785.1</v>
      </c>
      <c r="O11" s="38">
        <f t="shared" si="10"/>
        <v>4851.415417</v>
      </c>
      <c r="P11" s="38">
        <f t="shared" si="10"/>
        <v>5078.746591</v>
      </c>
      <c r="Q11" s="38">
        <f t="shared" si="10"/>
        <v>5484.328853</v>
      </c>
      <c r="R11" s="38">
        <f t="shared" si="10"/>
        <v>5891.917218</v>
      </c>
      <c r="S11" s="38">
        <f t="shared" si="10"/>
        <v>6297.155812</v>
      </c>
      <c r="T11" s="38">
        <f t="shared" si="10"/>
        <v>6695.379959</v>
      </c>
      <c r="U11" s="38">
        <f t="shared" si="10"/>
        <v>7081.694891</v>
      </c>
      <c r="V11" s="38">
        <f t="shared" si="10"/>
        <v>7450.651195</v>
      </c>
      <c r="X11" s="19"/>
      <c r="Y11" s="19" t="s">
        <v>5</v>
      </c>
      <c r="Z11" s="34">
        <v>0.09007158514340022</v>
      </c>
      <c r="AA11" s="34">
        <v>0.08092573850942351</v>
      </c>
      <c r="AB11" s="34">
        <v>0.08107011469378922</v>
      </c>
      <c r="AC11" s="34">
        <v>0.0867671841677479</v>
      </c>
      <c r="AD11" s="34">
        <v>0.08739121402714732</v>
      </c>
      <c r="AE11" s="34">
        <v>0.09252338378311412</v>
      </c>
      <c r="AF11" s="34">
        <v>0.09837404381253864</v>
      </c>
      <c r="AG11" s="34">
        <v>0.09413519612513344</v>
      </c>
      <c r="AH11" s="34">
        <v>0.09820706930485375</v>
      </c>
      <c r="AI11" s="34">
        <v>0.09776062773463358</v>
      </c>
      <c r="AJ11" s="34">
        <v>0.09090182323285317</v>
      </c>
      <c r="AK11" s="34">
        <v>0.09073890732133048</v>
      </c>
      <c r="AL11" s="34">
        <v>0.09069999999999998</v>
      </c>
      <c r="AM11" s="34">
        <v>0.09070000000000004</v>
      </c>
      <c r="AN11" s="34">
        <v>0.09069999999999996</v>
      </c>
      <c r="AO11" s="34">
        <v>0.09069999999999996</v>
      </c>
      <c r="AP11" s="34">
        <v>0.09069999999999999</v>
      </c>
      <c r="AQ11" s="34">
        <v>0.09070000000000004</v>
      </c>
      <c r="AR11" s="34">
        <v>0.09069999999999999</v>
      </c>
      <c r="AS11" s="34">
        <v>0.09069999999999998</v>
      </c>
      <c r="AT11" s="34">
        <v>0.09070000000000006</v>
      </c>
    </row>
    <row r="12">
      <c r="A12" s="29" t="str">
        <f>A10</f>
        <v>% of total revenue </v>
      </c>
      <c r="B12" s="16">
        <f t="shared" ref="B12:L12" si="11">B11/B4</f>
        <v>0.0113279274</v>
      </c>
      <c r="C12" s="16">
        <f t="shared" si="11"/>
        <v>0.01077609527</v>
      </c>
      <c r="D12" s="16">
        <f t="shared" si="11"/>
        <v>0.01111772344</v>
      </c>
      <c r="E12" s="16">
        <f t="shared" si="11"/>
        <v>0.01116032591</v>
      </c>
      <c r="F12" s="16">
        <f t="shared" si="11"/>
        <v>0.01073163401</v>
      </c>
      <c r="G12" s="39">
        <f t="shared" si="11"/>
        <v>0.01123247507</v>
      </c>
      <c r="H12" s="39">
        <f t="shared" si="11"/>
        <v>0.01124285898</v>
      </c>
      <c r="I12" s="39">
        <f t="shared" si="11"/>
        <v>0.01078940323</v>
      </c>
      <c r="J12" s="40">
        <f t="shared" si="11"/>
        <v>0.01048858287</v>
      </c>
      <c r="K12" s="40">
        <f t="shared" si="11"/>
        <v>0.01068828003</v>
      </c>
      <c r="L12" s="40">
        <f t="shared" si="11"/>
        <v>0.01024038293</v>
      </c>
      <c r="M12" s="32">
        <f>FS_Forecast!M12</f>
        <v>0.009743792549</v>
      </c>
      <c r="N12" s="18">
        <v>0.0109</v>
      </c>
      <c r="O12" s="18">
        <v>0.0109</v>
      </c>
      <c r="P12" s="18">
        <v>0.0109</v>
      </c>
      <c r="Q12" s="18">
        <v>0.0109</v>
      </c>
      <c r="R12" s="18">
        <v>0.0109</v>
      </c>
      <c r="S12" s="18">
        <v>0.0109</v>
      </c>
      <c r="T12" s="18">
        <v>0.0109</v>
      </c>
      <c r="U12" s="18">
        <v>0.0109</v>
      </c>
      <c r="V12" s="18">
        <v>0.0109</v>
      </c>
      <c r="X12" s="19"/>
      <c r="Y12" s="19" t="s">
        <v>7</v>
      </c>
      <c r="Z12" s="33">
        <v>1478.0</v>
      </c>
      <c r="AA12" s="33">
        <v>1693.0</v>
      </c>
      <c r="AB12" s="33">
        <v>2055.0</v>
      </c>
      <c r="AC12" s="33">
        <v>2245.0</v>
      </c>
      <c r="AD12" s="33">
        <v>2428.0</v>
      </c>
      <c r="AE12" s="33">
        <v>2720.0</v>
      </c>
      <c r="AF12" s="33">
        <v>2891.0</v>
      </c>
      <c r="AG12" s="33">
        <v>3103.0</v>
      </c>
      <c r="AH12" s="33">
        <v>3400.0</v>
      </c>
      <c r="AI12" s="33">
        <v>3972.0</v>
      </c>
      <c r="AJ12" s="33">
        <v>4099.0</v>
      </c>
      <c r="AK12" s="33">
        <v>4874.595496071541</v>
      </c>
      <c r="AL12" s="33">
        <v>4785.1</v>
      </c>
      <c r="AM12" s="33">
        <v>4851.069381322609</v>
      </c>
      <c r="AN12" s="33">
        <v>5078.033533592283</v>
      </c>
      <c r="AO12" s="33">
        <v>5483.191631816279</v>
      </c>
      <c r="AP12" s="33">
        <v>5890.298961150271</v>
      </c>
      <c r="AQ12" s="33">
        <v>6295.000294550322</v>
      </c>
      <c r="AR12" s="33">
        <v>6692.632904666287</v>
      </c>
      <c r="AS12" s="33">
        <v>7078.305355532404</v>
      </c>
      <c r="AT12" s="33">
        <v>7447.085064555642</v>
      </c>
    </row>
    <row r="13">
      <c r="A13" s="9" t="s">
        <v>8</v>
      </c>
      <c r="B13" s="27">
        <f t="shared" ref="B13:V13" si="12">B9-B11</f>
        <v>10274</v>
      </c>
      <c r="C13" s="27">
        <f t="shared" si="12"/>
        <v>9346</v>
      </c>
      <c r="D13" s="27">
        <f t="shared" si="12"/>
        <v>10875</v>
      </c>
      <c r="E13" s="27">
        <f t="shared" si="12"/>
        <v>12964</v>
      </c>
      <c r="F13" s="27">
        <f t="shared" si="12"/>
        <v>14916</v>
      </c>
      <c r="G13" s="27">
        <f t="shared" si="12"/>
        <v>16965</v>
      </c>
      <c r="H13" s="27">
        <f t="shared" si="12"/>
        <v>19514</v>
      </c>
      <c r="I13" s="27">
        <f t="shared" si="12"/>
        <v>23970</v>
      </c>
      <c r="J13" s="27">
        <f t="shared" si="12"/>
        <v>25035</v>
      </c>
      <c r="K13" s="27">
        <f t="shared" si="12"/>
        <v>28386</v>
      </c>
      <c r="L13" s="27">
        <f t="shared" si="12"/>
        <v>28188</v>
      </c>
      <c r="M13" s="27">
        <f t="shared" si="12"/>
        <v>18964</v>
      </c>
      <c r="N13" s="13">
        <f t="shared" si="12"/>
        <v>35032.2</v>
      </c>
      <c r="O13" s="13">
        <f t="shared" si="12"/>
        <v>35546.56889</v>
      </c>
      <c r="P13" s="13">
        <f t="shared" si="12"/>
        <v>37241.50102</v>
      </c>
      <c r="Q13" s="13">
        <f t="shared" si="12"/>
        <v>40246.19427</v>
      </c>
      <c r="R13" s="13">
        <f t="shared" si="12"/>
        <v>43270.31878</v>
      </c>
      <c r="S13" s="13">
        <f t="shared" si="12"/>
        <v>46281.93078</v>
      </c>
      <c r="T13" s="13">
        <f t="shared" si="12"/>
        <v>49246.71717</v>
      </c>
      <c r="U13" s="13">
        <f t="shared" si="12"/>
        <v>52128.56487</v>
      </c>
      <c r="V13" s="13">
        <f t="shared" si="12"/>
        <v>54844.4631</v>
      </c>
      <c r="X13" s="19"/>
      <c r="Y13" s="19" t="s">
        <v>5</v>
      </c>
      <c r="Z13" s="34">
        <v>0.011327927403160782</v>
      </c>
      <c r="AA13" s="34">
        <v>0.010776095272648577</v>
      </c>
      <c r="AB13" s="34">
        <v>0.01111772343648561</v>
      </c>
      <c r="AC13" s="34">
        <v>0.011160325911343763</v>
      </c>
      <c r="AD13" s="34">
        <v>0.010731634010616716</v>
      </c>
      <c r="AE13" s="34">
        <v>0.011232475067621978</v>
      </c>
      <c r="AF13" s="34">
        <v>0.011242858976203716</v>
      </c>
      <c r="AG13" s="34">
        <v>0.01078940322743283</v>
      </c>
      <c r="AH13" s="34">
        <v>0.010488582869059298</v>
      </c>
      <c r="AI13" s="34">
        <v>0.010688280026478519</v>
      </c>
      <c r="AJ13" s="34">
        <v>0.010240382933860967</v>
      </c>
      <c r="AK13" s="34">
        <v>0.010890517194082978</v>
      </c>
      <c r="AL13" s="34">
        <v>0.0109</v>
      </c>
      <c r="AM13" s="34">
        <v>0.0109</v>
      </c>
      <c r="AN13" s="34">
        <v>0.0109</v>
      </c>
      <c r="AO13" s="34">
        <v>0.0109</v>
      </c>
      <c r="AP13" s="34">
        <v>0.0109</v>
      </c>
      <c r="AQ13" s="34">
        <v>0.0109</v>
      </c>
      <c r="AR13" s="34">
        <v>0.0109</v>
      </c>
      <c r="AS13" s="34">
        <v>0.0109</v>
      </c>
      <c r="AT13" s="34">
        <v>0.0109</v>
      </c>
    </row>
    <row r="14">
      <c r="A14" s="29" t="s">
        <v>5</v>
      </c>
      <c r="B14" s="41">
        <f t="shared" ref="B14:L14" si="13">B13/B4</f>
        <v>0.07874365774</v>
      </c>
      <c r="C14" s="41">
        <f t="shared" si="13"/>
        <v>0.05948811956</v>
      </c>
      <c r="D14" s="16">
        <f t="shared" si="13"/>
        <v>0.05883466782</v>
      </c>
      <c r="E14" s="16">
        <f t="shared" si="13"/>
        <v>0.06444653235</v>
      </c>
      <c r="F14" s="16">
        <f t="shared" si="13"/>
        <v>0.06592794601</v>
      </c>
      <c r="G14" s="16">
        <f t="shared" si="13"/>
        <v>0.07005843365</v>
      </c>
      <c r="H14" s="16">
        <f t="shared" si="13"/>
        <v>0.07588832586</v>
      </c>
      <c r="I14" s="16">
        <f t="shared" si="13"/>
        <v>0.0833457929</v>
      </c>
      <c r="J14" s="16">
        <f t="shared" si="13"/>
        <v>0.07722990357</v>
      </c>
      <c r="K14" s="16">
        <f t="shared" si="13"/>
        <v>0.07638406768</v>
      </c>
      <c r="L14" s="16">
        <f t="shared" si="13"/>
        <v>0.07042105737</v>
      </c>
      <c r="M14" s="32">
        <f>FS_Forecast!M14</f>
        <v>0.04237130977</v>
      </c>
      <c r="N14" s="24">
        <f t="shared" ref="N14:V14" si="14">N13/N4</f>
        <v>0.0798</v>
      </c>
      <c r="O14" s="24">
        <f t="shared" si="14"/>
        <v>0.07986485748</v>
      </c>
      <c r="P14" s="24">
        <f t="shared" si="14"/>
        <v>0.07992766599</v>
      </c>
      <c r="Q14" s="24">
        <f t="shared" si="14"/>
        <v>0.07998855088</v>
      </c>
      <c r="R14" s="24">
        <f t="shared" si="14"/>
        <v>0.08004974565</v>
      </c>
      <c r="S14" s="24">
        <f t="shared" si="14"/>
        <v>0.08011125349</v>
      </c>
      <c r="T14" s="24">
        <f t="shared" si="14"/>
        <v>0.08017307762</v>
      </c>
      <c r="U14" s="24">
        <f t="shared" si="14"/>
        <v>0.08023522135</v>
      </c>
      <c r="V14" s="24">
        <f t="shared" si="14"/>
        <v>0.08023522135</v>
      </c>
      <c r="X14" s="19"/>
      <c r="Y14" s="19" t="s">
        <v>8</v>
      </c>
      <c r="Z14" s="33">
        <v>10274.0</v>
      </c>
      <c r="AA14" s="33">
        <v>11021.0</v>
      </c>
      <c r="AB14" s="33">
        <v>12930.0</v>
      </c>
      <c r="AC14" s="33">
        <v>15209.0</v>
      </c>
      <c r="AD14" s="33">
        <v>17344.0</v>
      </c>
      <c r="AE14" s="33">
        <v>19685.0</v>
      </c>
      <c r="AF14" s="33">
        <v>22405.0</v>
      </c>
      <c r="AG14" s="33">
        <v>23970.0</v>
      </c>
      <c r="AH14" s="33">
        <v>28435.0</v>
      </c>
      <c r="AI14" s="33">
        <v>32358.0</v>
      </c>
      <c r="AJ14" s="33">
        <v>32287.0</v>
      </c>
      <c r="AK14" s="33">
        <v>35740.13942095599</v>
      </c>
      <c r="AL14" s="33">
        <v>35032.19999999999</v>
      </c>
      <c r="AM14" s="33">
        <v>35515.16849812334</v>
      </c>
      <c r="AN14" s="33">
        <v>37176.7959615288</v>
      </c>
      <c r="AO14" s="33">
        <v>40142.99928614118</v>
      </c>
      <c r="AP14" s="33">
        <v>43123.47312842125</v>
      </c>
      <c r="AQ14" s="33">
        <v>46086.33243166201</v>
      </c>
      <c r="AR14" s="33">
        <v>48997.44089838253</v>
      </c>
      <c r="AS14" s="33">
        <v>51820.98783224639</v>
      </c>
      <c r="AT14" s="33">
        <v>54520.86129830649</v>
      </c>
    </row>
    <row r="15">
      <c r="A15" s="35" t="s">
        <v>9</v>
      </c>
      <c r="B15" s="42">
        <f t="shared" ref="B15:C15" si="15">H315</f>
        <v>-618</v>
      </c>
      <c r="C15" s="42">
        <f t="shared" si="15"/>
        <v>-790</v>
      </c>
      <c r="D15" s="42">
        <f t="shared" ref="D15:F15" si="16">B315</f>
        <v>-1067</v>
      </c>
      <c r="E15" s="42">
        <f t="shared" si="16"/>
        <v>-1186</v>
      </c>
      <c r="F15" s="42">
        <f t="shared" si="16"/>
        <v>-1400</v>
      </c>
      <c r="G15" s="43">
        <v>-1704.0</v>
      </c>
      <c r="H15" s="43">
        <v>-1663.0</v>
      </c>
      <c r="I15" s="43">
        <v>-1660.0</v>
      </c>
      <c r="J15" s="43">
        <v>-2092.0</v>
      </c>
      <c r="K15" s="43">
        <v>-3246.0</v>
      </c>
      <c r="L15" s="43">
        <v>-3906.0</v>
      </c>
      <c r="M15" s="44">
        <f>FS_Forecast!M15</f>
        <v>-4002</v>
      </c>
      <c r="N15" s="45">
        <f t="shared" ref="N15:V15" si="17">-N4*N16</f>
        <v>-4390</v>
      </c>
      <c r="O15" s="45">
        <f t="shared" si="17"/>
        <v>-4450.839832</v>
      </c>
      <c r="P15" s="45">
        <f t="shared" si="17"/>
        <v>-4659.400542</v>
      </c>
      <c r="Q15" s="45">
        <f t="shared" si="17"/>
        <v>-5031.49436</v>
      </c>
      <c r="R15" s="45">
        <f t="shared" si="17"/>
        <v>-5405.42864</v>
      </c>
      <c r="S15" s="45">
        <f t="shared" si="17"/>
        <v>-5777.207167</v>
      </c>
      <c r="T15" s="45">
        <f t="shared" si="17"/>
        <v>-6142.550421</v>
      </c>
      <c r="U15" s="45">
        <f t="shared" si="17"/>
        <v>-6496.96779</v>
      </c>
      <c r="V15" s="45">
        <f t="shared" si="17"/>
        <v>-6835.459812</v>
      </c>
      <c r="X15" s="19"/>
      <c r="Y15" s="19" t="s">
        <v>5</v>
      </c>
      <c r="Z15" s="34">
        <v>0.07874365774023943</v>
      </c>
      <c r="AA15" s="34">
        <v>0.07014964323677493</v>
      </c>
      <c r="AB15" s="34">
        <v>0.06995239125730361</v>
      </c>
      <c r="AC15" s="34">
        <v>0.07560685825640413</v>
      </c>
      <c r="AD15" s="34">
        <v>0.0766595800165306</v>
      </c>
      <c r="AE15" s="34">
        <v>0.08129090871549215</v>
      </c>
      <c r="AF15" s="34">
        <v>0.08713118483633493</v>
      </c>
      <c r="AG15" s="34">
        <v>0.0833457928977006</v>
      </c>
      <c r="AH15" s="34">
        <v>0.08771848643579445</v>
      </c>
      <c r="AI15" s="34">
        <v>0.08707234770815506</v>
      </c>
      <c r="AJ15" s="34">
        <v>0.0806614402989922</v>
      </c>
      <c r="AK15" s="34">
        <v>0.07984839012724751</v>
      </c>
      <c r="AL15" s="34">
        <v>0.07979999999999998</v>
      </c>
      <c r="AM15" s="34">
        <v>0.07980000000000004</v>
      </c>
      <c r="AN15" s="34">
        <v>0.07979999999999995</v>
      </c>
      <c r="AO15" s="34">
        <v>0.07979999999999995</v>
      </c>
      <c r="AP15" s="34">
        <v>0.0798</v>
      </c>
      <c r="AQ15" s="34">
        <v>0.07980000000000004</v>
      </c>
      <c r="AR15" s="34">
        <v>0.07979999999999998</v>
      </c>
      <c r="AS15" s="34">
        <v>0.07979999999999998</v>
      </c>
      <c r="AT15" s="34">
        <v>0.07980000000000007</v>
      </c>
    </row>
    <row r="16">
      <c r="A16" s="29" t="s">
        <v>5</v>
      </c>
      <c r="B16" s="16">
        <f t="shared" ref="B16:L16" si="18">-B15/B4</f>
        <v>0.00473657587</v>
      </c>
      <c r="C16" s="16">
        <f t="shared" si="18"/>
        <v>0.005028420121</v>
      </c>
      <c r="D16" s="16">
        <f t="shared" si="18"/>
        <v>0.005772560052</v>
      </c>
      <c r="E16" s="16">
        <f t="shared" si="18"/>
        <v>0.005895833644</v>
      </c>
      <c r="F16" s="16">
        <f t="shared" si="18"/>
        <v>0.006187927354</v>
      </c>
      <c r="G16" s="39">
        <f t="shared" si="18"/>
        <v>0.007036815263</v>
      </c>
      <c r="H16" s="39">
        <f t="shared" si="18"/>
        <v>0.00646726893</v>
      </c>
      <c r="I16" s="39">
        <f t="shared" si="18"/>
        <v>0.005771965632</v>
      </c>
      <c r="J16" s="39">
        <f t="shared" si="18"/>
        <v>0.006453563342</v>
      </c>
      <c r="K16" s="39">
        <f t="shared" si="18"/>
        <v>0.008734682016</v>
      </c>
      <c r="L16" s="39">
        <f t="shared" si="18"/>
        <v>0.009758218038</v>
      </c>
      <c r="M16" s="32">
        <f>FS_Forecast!M16</f>
        <v>0.008941678006</v>
      </c>
      <c r="N16" s="18">
        <v>0.01</v>
      </c>
      <c r="O16" s="18">
        <v>0.01</v>
      </c>
      <c r="P16" s="18">
        <v>0.01</v>
      </c>
      <c r="Q16" s="18">
        <v>0.01</v>
      </c>
      <c r="R16" s="18">
        <v>0.01</v>
      </c>
      <c r="S16" s="18">
        <v>0.01</v>
      </c>
      <c r="T16" s="18">
        <v>0.01</v>
      </c>
      <c r="U16" s="18">
        <v>0.01</v>
      </c>
      <c r="V16" s="18">
        <v>0.01</v>
      </c>
      <c r="X16" s="19"/>
      <c r="Y16" s="19" t="s">
        <v>9</v>
      </c>
      <c r="Z16" s="46">
        <v>-618.0</v>
      </c>
      <c r="AA16" s="46">
        <v>-790.0</v>
      </c>
      <c r="AB16" s="46">
        <v>-1067.0</v>
      </c>
      <c r="AC16" s="46">
        <v>-1186.0</v>
      </c>
      <c r="AD16" s="46">
        <v>-1400.0</v>
      </c>
      <c r="AE16" s="46">
        <v>-1704.0</v>
      </c>
      <c r="AF16" s="46">
        <v>-1663.0</v>
      </c>
      <c r="AG16" s="46">
        <v>-1660.0</v>
      </c>
      <c r="AH16" s="46">
        <v>-2092.0</v>
      </c>
      <c r="AI16" s="46">
        <v>-3246.0</v>
      </c>
      <c r="AJ16" s="46">
        <v>-3906.0</v>
      </c>
      <c r="AK16" s="46">
        <v>-4476.0</v>
      </c>
      <c r="AL16" s="46">
        <v>-4390.0</v>
      </c>
      <c r="AM16" s="46">
        <v>-4450.52236818588</v>
      </c>
      <c r="AN16" s="46">
        <v>-4658.746361093838</v>
      </c>
      <c r="AO16" s="46">
        <v>-5030.451038363559</v>
      </c>
      <c r="AP16" s="46">
        <v>-5403.944001055294</v>
      </c>
      <c r="AQ16" s="46">
        <v>-5775.229628027819</v>
      </c>
      <c r="AR16" s="46">
        <v>-6140.0301877672355</v>
      </c>
      <c r="AS16" s="46">
        <v>-6493.858124341656</v>
      </c>
      <c r="AT16" s="46">
        <v>-6832.188132619855</v>
      </c>
    </row>
    <row r="17">
      <c r="A17" s="35" t="s">
        <v>10</v>
      </c>
      <c r="B17" s="47">
        <v>0.0</v>
      </c>
      <c r="C17" s="47">
        <v>0.0</v>
      </c>
      <c r="D17" s="47">
        <v>0.0</v>
      </c>
      <c r="E17" s="47">
        <v>0.0</v>
      </c>
      <c r="F17" s="47">
        <v>0.0</v>
      </c>
      <c r="G17" s="47">
        <v>0.0</v>
      </c>
      <c r="H17" s="47">
        <v>0.0</v>
      </c>
      <c r="I17" s="47">
        <v>0.0</v>
      </c>
      <c r="J17" s="47">
        <v>0.0</v>
      </c>
      <c r="K17" s="47">
        <v>0.0</v>
      </c>
      <c r="L17" s="48">
        <v>-8310.0</v>
      </c>
      <c r="M17" s="37">
        <f>FS_Forecast!M17</f>
        <v>0</v>
      </c>
      <c r="N17" s="49">
        <v>0.0</v>
      </c>
      <c r="O17" s="49">
        <v>0.0</v>
      </c>
      <c r="P17" s="49">
        <v>0.0</v>
      </c>
      <c r="Q17" s="49">
        <v>0.0</v>
      </c>
      <c r="R17" s="49">
        <v>0.0</v>
      </c>
      <c r="S17" s="49">
        <v>0.0</v>
      </c>
      <c r="T17" s="49">
        <v>0.0</v>
      </c>
      <c r="U17" s="49">
        <v>0.0</v>
      </c>
      <c r="V17" s="49">
        <v>0.0</v>
      </c>
      <c r="X17" s="19"/>
      <c r="Y17" s="19" t="s">
        <v>5</v>
      </c>
      <c r="Z17" s="34">
        <v>0.004736575869521897</v>
      </c>
      <c r="AA17" s="34">
        <v>0.005028420121318592</v>
      </c>
      <c r="AB17" s="34">
        <v>0.00577256005193681</v>
      </c>
      <c r="AC17" s="34">
        <v>0.00589583364403283</v>
      </c>
      <c r="AD17" s="34">
        <v>0.006187927353732867</v>
      </c>
      <c r="AE17" s="34">
        <v>0.007036815262951415</v>
      </c>
      <c r="AF17" s="34">
        <v>0.006467268930275607</v>
      </c>
      <c r="AG17" s="34">
        <v>0.005771965632464873</v>
      </c>
      <c r="AH17" s="34">
        <v>0.006453563341785897</v>
      </c>
      <c r="AI17" s="34">
        <v>0.008734682015596493</v>
      </c>
      <c r="AJ17" s="34">
        <v>0.009758218038463268</v>
      </c>
      <c r="AK17" s="34">
        <v>0.01</v>
      </c>
      <c r="AL17" s="34">
        <v>0.01</v>
      </c>
      <c r="AM17" s="34">
        <v>0.01</v>
      </c>
      <c r="AN17" s="34">
        <v>0.01</v>
      </c>
      <c r="AO17" s="34">
        <v>0.01</v>
      </c>
      <c r="AP17" s="34">
        <v>0.01</v>
      </c>
      <c r="AQ17" s="34">
        <v>0.01</v>
      </c>
      <c r="AR17" s="34">
        <v>0.01</v>
      </c>
      <c r="AS17" s="34">
        <v>0.01</v>
      </c>
      <c r="AT17" s="34">
        <v>0.01</v>
      </c>
    </row>
    <row r="18">
      <c r="A18" s="9" t="s">
        <v>11</v>
      </c>
      <c r="B18" s="50">
        <f t="shared" ref="B18:V18" si="19">SUM(B13,B15,B17)</f>
        <v>9656</v>
      </c>
      <c r="C18" s="50">
        <f t="shared" si="19"/>
        <v>8556</v>
      </c>
      <c r="D18" s="50">
        <f t="shared" si="19"/>
        <v>9808</v>
      </c>
      <c r="E18" s="50">
        <f t="shared" si="19"/>
        <v>11778</v>
      </c>
      <c r="F18" s="50">
        <f t="shared" si="19"/>
        <v>13516</v>
      </c>
      <c r="G18" s="50">
        <f t="shared" si="19"/>
        <v>15261</v>
      </c>
      <c r="H18" s="50">
        <f t="shared" si="19"/>
        <v>17851</v>
      </c>
      <c r="I18" s="50">
        <f t="shared" si="19"/>
        <v>22310</v>
      </c>
      <c r="J18" s="50">
        <f t="shared" si="19"/>
        <v>22943</v>
      </c>
      <c r="K18" s="50">
        <f t="shared" si="19"/>
        <v>25140</v>
      </c>
      <c r="L18" s="50">
        <f t="shared" si="19"/>
        <v>15972</v>
      </c>
      <c r="M18" s="50">
        <f t="shared" si="19"/>
        <v>14962</v>
      </c>
      <c r="N18" s="38">
        <f t="shared" si="19"/>
        <v>30642.2</v>
      </c>
      <c r="O18" s="38">
        <f t="shared" si="19"/>
        <v>31095.72906</v>
      </c>
      <c r="P18" s="38">
        <f t="shared" si="19"/>
        <v>32582.10048</v>
      </c>
      <c r="Q18" s="38">
        <f t="shared" si="19"/>
        <v>35214.69991</v>
      </c>
      <c r="R18" s="38">
        <f t="shared" si="19"/>
        <v>37864.89014</v>
      </c>
      <c r="S18" s="38">
        <f t="shared" si="19"/>
        <v>40504.72361</v>
      </c>
      <c r="T18" s="38">
        <f t="shared" si="19"/>
        <v>43104.16675</v>
      </c>
      <c r="U18" s="38">
        <f t="shared" si="19"/>
        <v>45631.59708</v>
      </c>
      <c r="V18" s="38">
        <f t="shared" si="19"/>
        <v>48009.00329</v>
      </c>
      <c r="X18" s="19"/>
      <c r="Y18" s="19" t="s">
        <v>10</v>
      </c>
      <c r="Z18" s="33">
        <v>0.0</v>
      </c>
      <c r="AA18" s="33">
        <v>0.0</v>
      </c>
      <c r="AB18" s="33">
        <v>0.0</v>
      </c>
      <c r="AC18" s="33">
        <v>0.0</v>
      </c>
      <c r="AD18" s="33">
        <v>0.0</v>
      </c>
      <c r="AE18" s="33">
        <v>0.0</v>
      </c>
      <c r="AF18" s="33">
        <v>0.0</v>
      </c>
      <c r="AG18" s="33">
        <v>0.0</v>
      </c>
      <c r="AH18" s="33">
        <v>0.0</v>
      </c>
      <c r="AI18" s="33">
        <v>0.0</v>
      </c>
      <c r="AJ18" s="46">
        <v>-8310.0</v>
      </c>
      <c r="AK18" s="33">
        <v>0.0</v>
      </c>
      <c r="AL18" s="33">
        <v>0.0</v>
      </c>
      <c r="AM18" s="33">
        <v>0.0</v>
      </c>
      <c r="AN18" s="33">
        <v>0.0</v>
      </c>
      <c r="AO18" s="33">
        <v>0.0</v>
      </c>
      <c r="AP18" s="33">
        <v>0.0</v>
      </c>
      <c r="AQ18" s="33">
        <v>0.0</v>
      </c>
      <c r="AR18" s="33">
        <v>0.0</v>
      </c>
      <c r="AS18" s="33">
        <v>0.0</v>
      </c>
      <c r="AT18" s="33">
        <v>0.0</v>
      </c>
    </row>
    <row r="19">
      <c r="A19" s="51" t="s">
        <v>5</v>
      </c>
      <c r="B19" s="16">
        <f t="shared" ref="B19:L19" si="20">B18/B4</f>
        <v>0.07400708187</v>
      </c>
      <c r="C19" s="16">
        <f t="shared" si="20"/>
        <v>0.05445969944</v>
      </c>
      <c r="D19" s="16">
        <f t="shared" si="20"/>
        <v>0.05306210777</v>
      </c>
      <c r="E19" s="16">
        <f t="shared" si="20"/>
        <v>0.0585506987</v>
      </c>
      <c r="F19" s="16">
        <f t="shared" si="20"/>
        <v>0.05974001865</v>
      </c>
      <c r="G19" s="16">
        <f t="shared" si="20"/>
        <v>0.06302161838</v>
      </c>
      <c r="H19" s="16">
        <f t="shared" si="20"/>
        <v>0.06942105693</v>
      </c>
      <c r="I19" s="16">
        <f t="shared" si="20"/>
        <v>0.07757382727</v>
      </c>
      <c r="J19" s="16">
        <f t="shared" si="20"/>
        <v>0.07077634022</v>
      </c>
      <c r="K19" s="16">
        <f t="shared" si="20"/>
        <v>0.06764938567</v>
      </c>
      <c r="L19" s="16">
        <f t="shared" si="20"/>
        <v>0.03990226792</v>
      </c>
      <c r="M19" s="32">
        <f>FS_Forecast!M19</f>
        <v>0.03342963176</v>
      </c>
      <c r="N19" s="24">
        <f t="shared" ref="N19:V19" si="21">N18/N4</f>
        <v>0.0698</v>
      </c>
      <c r="O19" s="24">
        <f t="shared" si="21"/>
        <v>0.06986485748</v>
      </c>
      <c r="P19" s="24">
        <f t="shared" si="21"/>
        <v>0.06992766599</v>
      </c>
      <c r="Q19" s="24">
        <f t="shared" si="21"/>
        <v>0.06998855088</v>
      </c>
      <c r="R19" s="24">
        <f t="shared" si="21"/>
        <v>0.07004974565</v>
      </c>
      <c r="S19" s="24">
        <f t="shared" si="21"/>
        <v>0.07011125349</v>
      </c>
      <c r="T19" s="24">
        <f t="shared" si="21"/>
        <v>0.07017307762</v>
      </c>
      <c r="U19" s="24">
        <f t="shared" si="21"/>
        <v>0.07023522135</v>
      </c>
      <c r="V19" s="24">
        <f t="shared" si="21"/>
        <v>0.07023522135</v>
      </c>
      <c r="X19" s="19"/>
      <c r="Y19" s="19" t="s">
        <v>11</v>
      </c>
      <c r="Z19" s="33">
        <v>9656.0</v>
      </c>
      <c r="AA19" s="33">
        <v>10231.0</v>
      </c>
      <c r="AB19" s="33">
        <v>11863.0</v>
      </c>
      <c r="AC19" s="33">
        <v>14023.0</v>
      </c>
      <c r="AD19" s="33">
        <v>15944.0</v>
      </c>
      <c r="AE19" s="33">
        <v>17981.0</v>
      </c>
      <c r="AF19" s="33">
        <v>20742.0</v>
      </c>
      <c r="AG19" s="33">
        <v>22310.0</v>
      </c>
      <c r="AH19" s="33">
        <v>26343.0</v>
      </c>
      <c r="AI19" s="33">
        <v>29112.0</v>
      </c>
      <c r="AJ19" s="33">
        <v>20071.0</v>
      </c>
      <c r="AK19" s="33">
        <v>31264.139420955988</v>
      </c>
      <c r="AL19" s="33">
        <v>30642.19999999999</v>
      </c>
      <c r="AM19" s="33">
        <v>31064.64612993746</v>
      </c>
      <c r="AN19" s="33">
        <v>32518.049600434962</v>
      </c>
      <c r="AO19" s="33">
        <v>35112.548247777624</v>
      </c>
      <c r="AP19" s="33">
        <v>37719.52912736595</v>
      </c>
      <c r="AQ19" s="33">
        <v>40311.102803634196</v>
      </c>
      <c r="AR19" s="33">
        <v>42857.410710615295</v>
      </c>
      <c r="AS19" s="33">
        <v>45327.129707904736</v>
      </c>
      <c r="AT19" s="33">
        <v>47688.67316568663</v>
      </c>
    </row>
    <row r="20">
      <c r="A20" s="35" t="s">
        <v>12</v>
      </c>
      <c r="B20" s="42">
        <f t="shared" ref="B20:C20" si="22">H317</f>
        <v>-4037</v>
      </c>
      <c r="C20" s="42">
        <f t="shared" si="22"/>
        <v>-4363</v>
      </c>
      <c r="D20" s="42">
        <f t="shared" ref="D20:F20" si="23">B317</f>
        <v>-4790</v>
      </c>
      <c r="E20" s="42">
        <f t="shared" si="23"/>
        <v>-3200</v>
      </c>
      <c r="F20" s="42">
        <f t="shared" si="23"/>
        <v>-3562</v>
      </c>
      <c r="G20" s="43">
        <v>-3742.0</v>
      </c>
      <c r="H20" s="43">
        <v>-4973.0</v>
      </c>
      <c r="I20" s="43">
        <v>-4578.0</v>
      </c>
      <c r="J20" s="48">
        <v>-4829.0</v>
      </c>
      <c r="K20" s="48">
        <v>-5968.0</v>
      </c>
      <c r="L20" s="48">
        <v>-5704.0</v>
      </c>
      <c r="M20" s="37">
        <f>FS_Forecast!M20</f>
        <v>-1890</v>
      </c>
      <c r="N20" s="45">
        <f t="shared" ref="N20:V20" si="24">-N21*N13</f>
        <v>-6190.18974</v>
      </c>
      <c r="O20" s="45">
        <f t="shared" si="24"/>
        <v>-6281.078723</v>
      </c>
      <c r="P20" s="45">
        <f t="shared" si="24"/>
        <v>-6580.573231</v>
      </c>
      <c r="Q20" s="45">
        <f t="shared" si="24"/>
        <v>-7111.502527</v>
      </c>
      <c r="R20" s="45">
        <f t="shared" si="24"/>
        <v>-7645.865328</v>
      </c>
      <c r="S20" s="45">
        <f t="shared" si="24"/>
        <v>-8178.017168</v>
      </c>
      <c r="T20" s="45">
        <f t="shared" si="24"/>
        <v>-8701.894924</v>
      </c>
      <c r="U20" s="45">
        <f t="shared" si="24"/>
        <v>-9211.117413</v>
      </c>
      <c r="V20" s="45">
        <f t="shared" si="24"/>
        <v>-9691.01663</v>
      </c>
      <c r="X20" s="19"/>
      <c r="Y20" s="19" t="s">
        <v>5</v>
      </c>
      <c r="Z20" s="34">
        <v>0.07400708187071754</v>
      </c>
      <c r="AA20" s="34">
        <v>0.06512122311545634</v>
      </c>
      <c r="AB20" s="34">
        <v>0.0641798312053668</v>
      </c>
      <c r="AC20" s="34">
        <v>0.0697110246123713</v>
      </c>
      <c r="AD20" s="34">
        <v>0.07047165266279774</v>
      </c>
      <c r="AE20" s="34">
        <v>0.07425409345254073</v>
      </c>
      <c r="AF20" s="34">
        <v>0.08066391590605933</v>
      </c>
      <c r="AG20" s="34">
        <v>0.07757382726523573</v>
      </c>
      <c r="AH20" s="34">
        <v>0.08126492309400855</v>
      </c>
      <c r="AI20" s="34">
        <v>0.07833766569255857</v>
      </c>
      <c r="AJ20" s="34">
        <v>0.05014265085765393</v>
      </c>
      <c r="AK20" s="34">
        <v>0.06984839012724751</v>
      </c>
      <c r="AL20" s="34">
        <v>0.06979999999999997</v>
      </c>
      <c r="AM20" s="34">
        <v>0.06980000000000004</v>
      </c>
      <c r="AN20" s="34">
        <v>0.06979999999999996</v>
      </c>
      <c r="AO20" s="34">
        <v>0.06979999999999996</v>
      </c>
      <c r="AP20" s="34">
        <v>0.06979999999999999</v>
      </c>
      <c r="AQ20" s="34">
        <v>0.06980000000000004</v>
      </c>
      <c r="AR20" s="34">
        <v>0.06979999999999999</v>
      </c>
      <c r="AS20" s="34">
        <v>0.06979999999999997</v>
      </c>
      <c r="AT20" s="34">
        <v>0.06980000000000006</v>
      </c>
    </row>
    <row r="21">
      <c r="A21" s="9" t="s">
        <v>13</v>
      </c>
      <c r="B21" s="16">
        <f t="shared" ref="B21:L21" si="25">-B20/B13</f>
        <v>0.3929336188</v>
      </c>
      <c r="C21" s="16">
        <f t="shared" si="25"/>
        <v>0.4668307297</v>
      </c>
      <c r="D21" s="16">
        <f t="shared" si="25"/>
        <v>0.4404597701</v>
      </c>
      <c r="E21" s="16">
        <f t="shared" si="25"/>
        <v>0.2468373959</v>
      </c>
      <c r="F21" s="16">
        <f t="shared" si="25"/>
        <v>0.2388039689</v>
      </c>
      <c r="G21" s="16">
        <f t="shared" si="25"/>
        <v>0.2205717654</v>
      </c>
      <c r="H21" s="16">
        <f t="shared" si="25"/>
        <v>0.2548426771</v>
      </c>
      <c r="I21" s="16">
        <f t="shared" si="25"/>
        <v>0.1909887359</v>
      </c>
      <c r="J21" s="16">
        <f t="shared" si="25"/>
        <v>0.1928899541</v>
      </c>
      <c r="K21" s="16">
        <f t="shared" si="25"/>
        <v>0.2102444867</v>
      </c>
      <c r="L21" s="16">
        <f t="shared" si="25"/>
        <v>0.2023556123</v>
      </c>
      <c r="M21" s="32">
        <f>FS_Forecast!M21</f>
        <v>0.1263200107</v>
      </c>
      <c r="N21" s="18">
        <v>0.1767</v>
      </c>
      <c r="O21" s="18">
        <v>0.1767</v>
      </c>
      <c r="P21" s="18">
        <v>0.1767</v>
      </c>
      <c r="Q21" s="18">
        <v>0.1767</v>
      </c>
      <c r="R21" s="18">
        <v>0.1767</v>
      </c>
      <c r="S21" s="18">
        <v>0.1767</v>
      </c>
      <c r="T21" s="18">
        <v>0.1767</v>
      </c>
      <c r="U21" s="18">
        <v>0.1767</v>
      </c>
      <c r="V21" s="18">
        <v>0.1767</v>
      </c>
      <c r="X21" s="19"/>
      <c r="Y21" s="19" t="s">
        <v>12</v>
      </c>
      <c r="Z21" s="46">
        <v>-4037.0</v>
      </c>
      <c r="AA21" s="46">
        <v>-4363.0</v>
      </c>
      <c r="AB21" s="46">
        <v>-4790.0</v>
      </c>
      <c r="AC21" s="46">
        <v>-3200.0</v>
      </c>
      <c r="AD21" s="46">
        <v>-3562.0</v>
      </c>
      <c r="AE21" s="46">
        <v>-3742.0</v>
      </c>
      <c r="AF21" s="46">
        <v>-4973.0</v>
      </c>
      <c r="AG21" s="46">
        <v>-4578.0</v>
      </c>
      <c r="AH21" s="46">
        <v>-4829.0</v>
      </c>
      <c r="AI21" s="46">
        <v>-5968.0</v>
      </c>
      <c r="AJ21" s="46">
        <v>-5704.0</v>
      </c>
      <c r="AK21" s="46">
        <v>-6315.282635682923</v>
      </c>
      <c r="AL21" s="46">
        <v>-6190.189739999998</v>
      </c>
      <c r="AM21" s="46">
        <v>-6275.530273618394</v>
      </c>
      <c r="AN21" s="46">
        <v>-6569.139846402139</v>
      </c>
      <c r="AO21" s="46">
        <v>-7093.267973861147</v>
      </c>
      <c r="AP21" s="46">
        <v>-7619.917701792034</v>
      </c>
      <c r="AQ21" s="46">
        <v>-8143.454940674677</v>
      </c>
      <c r="AR21" s="46">
        <v>-8657.847806744192</v>
      </c>
      <c r="AS21" s="46">
        <v>-9156.768549957937</v>
      </c>
      <c r="AT21" s="46">
        <v>-9633.836191410755</v>
      </c>
    </row>
    <row r="22">
      <c r="A22" s="9" t="s">
        <v>13</v>
      </c>
      <c r="B22" s="52">
        <f t="shared" ref="B22:V22" si="26">B18+B20</f>
        <v>5619</v>
      </c>
      <c r="C22" s="52">
        <f t="shared" si="26"/>
        <v>4193</v>
      </c>
      <c r="D22" s="52">
        <f t="shared" si="26"/>
        <v>5018</v>
      </c>
      <c r="E22" s="52">
        <f t="shared" si="26"/>
        <v>8578</v>
      </c>
      <c r="F22" s="52">
        <f t="shared" si="26"/>
        <v>9954</v>
      </c>
      <c r="G22" s="52">
        <f t="shared" si="26"/>
        <v>11519</v>
      </c>
      <c r="H22" s="52">
        <f t="shared" si="26"/>
        <v>12878</v>
      </c>
      <c r="I22" s="52">
        <f t="shared" si="26"/>
        <v>17732</v>
      </c>
      <c r="J22" s="52">
        <f t="shared" si="26"/>
        <v>18114</v>
      </c>
      <c r="K22" s="52">
        <f t="shared" si="26"/>
        <v>19172</v>
      </c>
      <c r="L22" s="52">
        <f t="shared" si="26"/>
        <v>10268</v>
      </c>
      <c r="M22" s="52">
        <f t="shared" si="26"/>
        <v>13072</v>
      </c>
      <c r="N22" s="13">
        <f t="shared" si="26"/>
        <v>24452.01026</v>
      </c>
      <c r="O22" s="13">
        <f t="shared" si="26"/>
        <v>24814.65033</v>
      </c>
      <c r="P22" s="13">
        <f t="shared" si="26"/>
        <v>26001.52725</v>
      </c>
      <c r="Q22" s="13">
        <f t="shared" si="26"/>
        <v>28103.19738</v>
      </c>
      <c r="R22" s="13">
        <f t="shared" si="26"/>
        <v>30219.02481</v>
      </c>
      <c r="S22" s="13">
        <f t="shared" si="26"/>
        <v>32326.70644</v>
      </c>
      <c r="T22" s="13">
        <f t="shared" si="26"/>
        <v>34402.27182</v>
      </c>
      <c r="U22" s="13">
        <f t="shared" si="26"/>
        <v>36420.47967</v>
      </c>
      <c r="V22" s="13">
        <f t="shared" si="26"/>
        <v>38317.98666</v>
      </c>
      <c r="X22" s="19"/>
      <c r="Y22" s="19" t="s">
        <v>13</v>
      </c>
      <c r="Z22" s="34">
        <v>0.3929336188436831</v>
      </c>
      <c r="AA22" s="34">
        <v>0.39588059159785866</v>
      </c>
      <c r="AB22" s="34">
        <v>0.3704563031709203</v>
      </c>
      <c r="AC22" s="34">
        <v>0.21040173581432048</v>
      </c>
      <c r="AD22" s="34">
        <v>0.20537361623616235</v>
      </c>
      <c r="AE22" s="34">
        <v>0.19009398018796037</v>
      </c>
      <c r="AF22" s="34">
        <v>0.2219593840660567</v>
      </c>
      <c r="AG22" s="34">
        <v>0.19098873591989987</v>
      </c>
      <c r="AH22" s="34">
        <v>0.16982591876208897</v>
      </c>
      <c r="AI22" s="34">
        <v>0.18443661536559738</v>
      </c>
      <c r="AJ22" s="34">
        <v>0.17666553101867624</v>
      </c>
      <c r="AK22" s="34">
        <v>0.1767</v>
      </c>
      <c r="AL22" s="34">
        <v>0.1767</v>
      </c>
      <c r="AM22" s="34">
        <v>0.1767</v>
      </c>
      <c r="AN22" s="34">
        <v>0.1767</v>
      </c>
      <c r="AO22" s="34">
        <v>0.1767</v>
      </c>
      <c r="AP22" s="34">
        <v>0.1767</v>
      </c>
      <c r="AQ22" s="34">
        <v>0.1767</v>
      </c>
      <c r="AR22" s="34">
        <v>0.1767</v>
      </c>
      <c r="AS22" s="34">
        <v>0.1767</v>
      </c>
      <c r="AT22" s="34">
        <v>0.1767</v>
      </c>
    </row>
    <row r="23">
      <c r="A23" s="9"/>
      <c r="B23" s="16">
        <f t="shared" ref="B23:L23" si="27">B22/B4</f>
        <v>0.04306605147</v>
      </c>
      <c r="C23" s="16">
        <f t="shared" si="27"/>
        <v>0.02668881718</v>
      </c>
      <c r="D23" s="16">
        <f t="shared" si="27"/>
        <v>0.02714780351</v>
      </c>
      <c r="E23" s="39">
        <f t="shared" si="27"/>
        <v>0.04264288448</v>
      </c>
      <c r="F23" s="39">
        <f t="shared" si="27"/>
        <v>0.04399616349</v>
      </c>
      <c r="G23" s="16">
        <f t="shared" si="27"/>
        <v>0.04756870599</v>
      </c>
      <c r="H23" s="16">
        <f t="shared" si="27"/>
        <v>0.05008147281</v>
      </c>
      <c r="I23" s="16">
        <f t="shared" si="27"/>
        <v>0.06165571964</v>
      </c>
      <c r="J23" s="16">
        <f t="shared" si="27"/>
        <v>0.05587946767</v>
      </c>
      <c r="K23" s="16">
        <f t="shared" si="27"/>
        <v>0.05159005656</v>
      </c>
      <c r="L23" s="16">
        <f t="shared" si="27"/>
        <v>0.02565217174</v>
      </c>
      <c r="M23" s="32">
        <f>FS_Forecast!M23</f>
        <v>0.02920680032</v>
      </c>
      <c r="N23" s="24">
        <f t="shared" ref="N23:V23" si="28">N22/N4</f>
        <v>0.05569934</v>
      </c>
      <c r="O23" s="24">
        <f t="shared" si="28"/>
        <v>0.05575273716</v>
      </c>
      <c r="P23" s="24">
        <f t="shared" si="28"/>
        <v>0.05580444741</v>
      </c>
      <c r="Q23" s="24">
        <f t="shared" si="28"/>
        <v>0.05585457394</v>
      </c>
      <c r="R23" s="24">
        <f t="shared" si="28"/>
        <v>0.0559049556</v>
      </c>
      <c r="S23" s="24">
        <f t="shared" si="28"/>
        <v>0.05595559499</v>
      </c>
      <c r="T23" s="24">
        <f t="shared" si="28"/>
        <v>0.0560064948</v>
      </c>
      <c r="U23" s="24">
        <f t="shared" si="28"/>
        <v>0.05605765774</v>
      </c>
      <c r="V23" s="24">
        <f t="shared" si="28"/>
        <v>0.05605765774</v>
      </c>
      <c r="X23" s="19"/>
      <c r="Y23" s="19" t="s">
        <v>13</v>
      </c>
      <c r="Z23" s="33">
        <v>5619.0</v>
      </c>
      <c r="AA23" s="33">
        <v>5868.0</v>
      </c>
      <c r="AB23" s="33">
        <v>7073.0</v>
      </c>
      <c r="AC23" s="33">
        <v>10823.0</v>
      </c>
      <c r="AD23" s="33">
        <v>12382.0</v>
      </c>
      <c r="AE23" s="33">
        <v>14239.0</v>
      </c>
      <c r="AF23" s="33">
        <v>15769.0</v>
      </c>
      <c r="AG23" s="33">
        <v>17732.0</v>
      </c>
      <c r="AH23" s="33">
        <v>21514.0</v>
      </c>
      <c r="AI23" s="33">
        <v>23144.0</v>
      </c>
      <c r="AJ23" s="33">
        <v>14367.0</v>
      </c>
      <c r="AK23" s="33">
        <v>24948.856785273063</v>
      </c>
      <c r="AL23" s="33">
        <v>24452.010259999992</v>
      </c>
      <c r="AM23" s="33">
        <v>24789.115856319066</v>
      </c>
      <c r="AN23" s="33">
        <v>25948.909754032822</v>
      </c>
      <c r="AO23" s="33">
        <v>28019.280273916476</v>
      </c>
      <c r="AP23" s="33">
        <v>30099.61142557392</v>
      </c>
      <c r="AQ23" s="33">
        <v>32167.64786295952</v>
      </c>
      <c r="AR23" s="33">
        <v>34199.562903871105</v>
      </c>
      <c r="AS23" s="33">
        <v>36170.3611579468</v>
      </c>
      <c r="AT23" s="33">
        <v>38054.83697427588</v>
      </c>
    </row>
    <row r="24">
      <c r="A24" s="35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23"/>
      <c r="N24" s="23"/>
      <c r="O24" s="3"/>
      <c r="P24" s="3"/>
      <c r="Q24" s="3"/>
      <c r="R24" s="3"/>
      <c r="S24" s="3"/>
      <c r="T24" s="3"/>
      <c r="U24" s="3"/>
      <c r="V24" s="3"/>
      <c r="X24" s="19"/>
      <c r="Y24" s="19"/>
      <c r="Z24" s="34">
        <v>0.04306605147385686</v>
      </c>
      <c r="AA24" s="34">
        <v>0.037350340850503164</v>
      </c>
      <c r="AB24" s="34">
        <v>0.038265526942220296</v>
      </c>
      <c r="AC24" s="34">
        <v>0.05380321039575659</v>
      </c>
      <c r="AD24" s="34">
        <v>0.0547277974956574</v>
      </c>
      <c r="AE24" s="34">
        <v>0.05880118106171667</v>
      </c>
      <c r="AF24" s="34">
        <v>0.061324331786840686</v>
      </c>
      <c r="AG24" s="34">
        <v>0.061655719635462125</v>
      </c>
      <c r="AH24" s="34">
        <v>0.06636805054262992</v>
      </c>
      <c r="AI24" s="34">
        <v>0.06227833658933002</v>
      </c>
      <c r="AJ24" s="34">
        <v>0.03589255467450122</v>
      </c>
      <c r="AK24" s="34">
        <v>0.055739179591762875</v>
      </c>
      <c r="AL24" s="34">
        <v>0.05569933999999998</v>
      </c>
      <c r="AM24" s="34">
        <v>0.055699340000000035</v>
      </c>
      <c r="AN24" s="34">
        <v>0.05569933999999996</v>
      </c>
      <c r="AO24" s="34">
        <v>0.05569933999999997</v>
      </c>
      <c r="AP24" s="34">
        <v>0.05569933999999999</v>
      </c>
      <c r="AQ24" s="34">
        <v>0.055699340000000035</v>
      </c>
      <c r="AR24" s="34">
        <v>0.05569933999999999</v>
      </c>
      <c r="AS24" s="34">
        <v>0.05569933999999998</v>
      </c>
      <c r="AT24" s="34">
        <v>0.055699340000000055</v>
      </c>
    </row>
    <row r="25">
      <c r="A25" s="35"/>
      <c r="B25" s="21">
        <v>1.0</v>
      </c>
      <c r="C25" s="21">
        <v>2.0</v>
      </c>
      <c r="D25" s="21">
        <v>3.0</v>
      </c>
      <c r="E25" s="21">
        <v>4.0</v>
      </c>
      <c r="F25" s="21">
        <v>5.0</v>
      </c>
      <c r="G25" s="21">
        <v>6.0</v>
      </c>
      <c r="H25" s="21">
        <v>7.0</v>
      </c>
      <c r="I25" s="21">
        <v>8.0</v>
      </c>
      <c r="J25" s="21">
        <v>9.0</v>
      </c>
      <c r="K25" s="21">
        <v>10.0</v>
      </c>
      <c r="L25" s="21">
        <v>11.0</v>
      </c>
      <c r="M25" s="23"/>
      <c r="N25" s="23"/>
      <c r="O25" s="3"/>
      <c r="P25" s="3"/>
      <c r="Q25" s="3"/>
      <c r="R25" s="3"/>
      <c r="S25" s="3"/>
      <c r="T25" s="3"/>
      <c r="U25" s="3"/>
      <c r="V25" s="3"/>
    </row>
    <row r="26">
      <c r="A26" s="4" t="s">
        <v>14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6"/>
      <c r="O26" s="6"/>
      <c r="P26" s="6"/>
      <c r="Q26" s="6"/>
      <c r="R26" s="6"/>
      <c r="S26" s="6"/>
      <c r="T26" s="6"/>
      <c r="U26" s="6"/>
      <c r="V26" s="6"/>
      <c r="W26" s="19"/>
      <c r="X26" s="19"/>
      <c r="Y26" s="19"/>
      <c r="Z26" s="19"/>
      <c r="AA26" s="19"/>
    </row>
    <row r="27">
      <c r="A27" s="54"/>
      <c r="B27" s="7">
        <v>2014.0</v>
      </c>
      <c r="C27" s="7">
        <v>2015.0</v>
      </c>
      <c r="D27" s="7">
        <v>2016.0</v>
      </c>
      <c r="E27" s="7">
        <v>2017.0</v>
      </c>
      <c r="F27" s="7">
        <v>2018.0</v>
      </c>
      <c r="G27" s="7">
        <v>2019.0</v>
      </c>
      <c r="H27" s="7">
        <v>2020.0</v>
      </c>
      <c r="I27" s="7">
        <v>2021.0</v>
      </c>
      <c r="J27" s="7">
        <v>2022.0</v>
      </c>
      <c r="K27" s="7">
        <v>2023.0</v>
      </c>
      <c r="L27" s="7">
        <v>2024.0</v>
      </c>
      <c r="M27" s="7" t="s">
        <v>15</v>
      </c>
      <c r="N27" s="8">
        <v>2026.0</v>
      </c>
      <c r="O27" s="8">
        <v>2027.0</v>
      </c>
      <c r="P27" s="8">
        <v>2028.0</v>
      </c>
      <c r="Q27" s="8">
        <v>2029.0</v>
      </c>
      <c r="R27" s="8">
        <v>2030.0</v>
      </c>
      <c r="S27" s="8">
        <v>2031.0</v>
      </c>
      <c r="T27" s="8">
        <v>2032.0</v>
      </c>
      <c r="U27" s="8"/>
      <c r="V27" s="8"/>
      <c r="W27" s="19"/>
      <c r="X27" s="19"/>
      <c r="Y27" s="19"/>
      <c r="Z27" s="19"/>
      <c r="AA27" s="19"/>
    </row>
    <row r="28">
      <c r="A28" s="9" t="s">
        <v>16</v>
      </c>
      <c r="B28" s="55"/>
      <c r="C28" s="55"/>
      <c r="D28" s="55"/>
      <c r="E28" s="55"/>
      <c r="F28" s="55"/>
      <c r="G28" s="55"/>
      <c r="H28" s="55"/>
      <c r="I28" s="55"/>
      <c r="J28" s="56"/>
      <c r="K28" s="56"/>
      <c r="L28" s="56"/>
      <c r="M28" s="22"/>
      <c r="N28" s="23"/>
      <c r="O28" s="3"/>
      <c r="P28" s="3"/>
      <c r="Q28" s="3"/>
      <c r="R28" s="23"/>
      <c r="S28" s="23"/>
      <c r="T28" s="23"/>
      <c r="U28" s="3"/>
      <c r="V28" s="3"/>
      <c r="W28" s="19"/>
      <c r="X28" s="19"/>
      <c r="Y28" s="19"/>
      <c r="Z28" s="19"/>
      <c r="AA28" s="19"/>
    </row>
    <row r="29">
      <c r="A29" s="35" t="s">
        <v>17</v>
      </c>
      <c r="B29" s="57">
        <v>7495.0</v>
      </c>
      <c r="C29" s="57">
        <v>10923.0</v>
      </c>
      <c r="D29" s="57">
        <v>10430.0</v>
      </c>
      <c r="E29" s="57">
        <v>11981.0</v>
      </c>
      <c r="F29" s="57">
        <v>10866.0</v>
      </c>
      <c r="G29" s="57">
        <v>10985.0</v>
      </c>
      <c r="H29" s="58">
        <v>16921.0</v>
      </c>
      <c r="I29" s="58">
        <v>21375.0</v>
      </c>
      <c r="J29" s="58">
        <v>23365.0</v>
      </c>
      <c r="K29" s="43">
        <v>25427.0</v>
      </c>
      <c r="L29" s="43">
        <v>25312.0</v>
      </c>
      <c r="M29" s="59">
        <f>FS_Forecast!M46</f>
        <v>24365</v>
      </c>
      <c r="N29" s="60"/>
      <c r="O29" s="60"/>
      <c r="P29" s="60"/>
      <c r="Q29" s="60"/>
      <c r="R29" s="60"/>
      <c r="S29" s="60"/>
      <c r="T29" s="60"/>
      <c r="U29" s="60"/>
      <c r="V29" s="60"/>
      <c r="W29" s="61"/>
      <c r="X29" s="19"/>
      <c r="Y29" s="19"/>
      <c r="Z29" s="19"/>
      <c r="AA29" s="19"/>
    </row>
    <row r="30">
      <c r="A30" s="35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3"/>
      <c r="N30" s="64"/>
      <c r="O30" s="64"/>
      <c r="P30" s="64"/>
      <c r="Q30" s="64"/>
      <c r="R30" s="64"/>
      <c r="S30" s="64"/>
      <c r="T30" s="64"/>
      <c r="U30" s="64"/>
      <c r="V30" s="64"/>
      <c r="W30" s="65"/>
      <c r="X30" s="19"/>
      <c r="Y30" s="19"/>
      <c r="Z30" s="19"/>
      <c r="AA30" s="19"/>
    </row>
    <row r="31">
      <c r="A31" s="35" t="s">
        <v>18</v>
      </c>
      <c r="B31" s="57">
        <v>1741.0</v>
      </c>
      <c r="C31" s="57">
        <v>1988.0</v>
      </c>
      <c r="D31" s="57">
        <v>2845.0</v>
      </c>
      <c r="E31" s="57">
        <v>3509.0</v>
      </c>
      <c r="F31" s="57">
        <v>3458.0</v>
      </c>
      <c r="G31" s="57">
        <v>3260.0</v>
      </c>
      <c r="H31" s="58">
        <v>2860.0</v>
      </c>
      <c r="I31" s="58">
        <v>2532.0</v>
      </c>
      <c r="J31" s="58">
        <v>4546.0</v>
      </c>
      <c r="K31" s="43">
        <v>4201.0</v>
      </c>
      <c r="L31" s="43">
        <v>3801.0</v>
      </c>
      <c r="M31" s="66">
        <v>3801.0</v>
      </c>
      <c r="N31" s="6"/>
      <c r="O31" s="6"/>
      <c r="P31" s="6"/>
      <c r="Q31" s="6"/>
      <c r="R31" s="23"/>
      <c r="S31" s="6"/>
      <c r="T31" s="6"/>
      <c r="U31" s="6"/>
      <c r="V31" s="6"/>
      <c r="W31" s="65"/>
      <c r="X31" s="19"/>
      <c r="Y31" s="19"/>
      <c r="Z31" s="19"/>
      <c r="AA31" s="19"/>
    </row>
    <row r="32">
      <c r="A32" s="35"/>
      <c r="B32" s="57"/>
      <c r="C32" s="57"/>
      <c r="D32" s="57"/>
      <c r="E32" s="57"/>
      <c r="F32" s="57"/>
      <c r="G32" s="57"/>
      <c r="H32" s="58"/>
      <c r="I32" s="58"/>
      <c r="J32" s="58"/>
      <c r="K32" s="43"/>
      <c r="L32" s="43"/>
      <c r="M32" s="61"/>
      <c r="N32" s="6"/>
      <c r="O32" s="6"/>
      <c r="P32" s="6"/>
      <c r="Q32" s="6"/>
      <c r="R32" s="23"/>
      <c r="S32" s="6"/>
      <c r="T32" s="6"/>
      <c r="U32" s="6"/>
      <c r="V32" s="6"/>
      <c r="W32" s="65"/>
      <c r="X32" s="19"/>
      <c r="Y32" s="19"/>
      <c r="Z32" s="19"/>
      <c r="AA32" s="19"/>
    </row>
    <row r="33">
      <c r="A33" s="35" t="s">
        <v>19</v>
      </c>
      <c r="B33" s="57">
        <v>4252.0</v>
      </c>
      <c r="C33" s="57">
        <v>6523.0</v>
      </c>
      <c r="D33" s="57">
        <v>8152.0</v>
      </c>
      <c r="E33" s="57">
        <v>9568.0</v>
      </c>
      <c r="F33" s="57">
        <v>11388.0</v>
      </c>
      <c r="G33" s="57">
        <v>11822.0</v>
      </c>
      <c r="H33" s="58">
        <v>12870.0</v>
      </c>
      <c r="I33" s="58">
        <v>14216.0</v>
      </c>
      <c r="J33" s="58">
        <v>17681.0</v>
      </c>
      <c r="K33" s="43">
        <v>21276.0</v>
      </c>
      <c r="L33" s="43">
        <v>22365.0</v>
      </c>
      <c r="M33" s="61">
        <v>23018.0</v>
      </c>
      <c r="N33" s="67">
        <f>N34*FS_Forecast!N4</f>
        <v>22646.50059</v>
      </c>
      <c r="O33" s="67">
        <f>O34*FS_Forecast!O4</f>
        <v>22958.71467</v>
      </c>
      <c r="P33" s="67">
        <f>P34*FS_Forecast!P4</f>
        <v>23463.49454</v>
      </c>
      <c r="Q33" s="67">
        <f>Q34*FS_Forecast!Q4</f>
        <v>24171.77335</v>
      </c>
      <c r="R33" s="67">
        <f>R34*FS_Forecast!R4</f>
        <v>25099.64111</v>
      </c>
      <c r="S33" s="67">
        <f>S34*FS_Forecast!S4</f>
        <v>26268.94345</v>
      </c>
      <c r="T33" s="67">
        <f>T34*FS_Forecast!T4</f>
        <v>27713.73534</v>
      </c>
      <c r="U33" s="60"/>
      <c r="V33" s="60"/>
      <c r="W33" s="65"/>
      <c r="X33" s="19"/>
      <c r="Y33" s="19"/>
      <c r="Z33" s="19"/>
      <c r="AA33" s="19"/>
    </row>
    <row r="34">
      <c r="A34" s="29" t="s">
        <v>20</v>
      </c>
      <c r="B34" s="68">
        <f t="shared" ref="B34:L34" si="29">B33/B4</f>
        <v>0.03258886828</v>
      </c>
      <c r="C34" s="68">
        <f t="shared" si="29"/>
        <v>0.04151947399</v>
      </c>
      <c r="D34" s="68">
        <f t="shared" si="29"/>
        <v>0.04410300801</v>
      </c>
      <c r="E34" s="68">
        <f t="shared" si="29"/>
        <v>0.04756436451</v>
      </c>
      <c r="F34" s="68">
        <f t="shared" si="29"/>
        <v>0.05033436907</v>
      </c>
      <c r="G34" s="68">
        <f t="shared" si="29"/>
        <v>0.04881997068</v>
      </c>
      <c r="H34" s="68">
        <f t="shared" si="29"/>
        <v>0.05005036147</v>
      </c>
      <c r="I34" s="68">
        <f t="shared" si="29"/>
        <v>0.04943027918</v>
      </c>
      <c r="J34" s="68">
        <f t="shared" si="29"/>
        <v>0.0545437158</v>
      </c>
      <c r="K34" s="68">
        <f t="shared" si="29"/>
        <v>0.05725172353</v>
      </c>
      <c r="L34" s="68">
        <f t="shared" si="29"/>
        <v>0.0558736678</v>
      </c>
      <c r="M34" s="69">
        <f>M33/FS_Forecast!M4</f>
        <v>0.0514291715</v>
      </c>
      <c r="N34" s="64">
        <f>IFERROR(__xludf.DUMMYFUNCTION("AVERAGE.WEIGHTED(B34:M34,B1:M1)"),0.05158656170130325)</f>
        <v>0.0515865617</v>
      </c>
      <c r="O34" s="64">
        <f t="shared" ref="O34:T34" si="30">N34</f>
        <v>0.0515865617</v>
      </c>
      <c r="P34" s="64">
        <f t="shared" si="30"/>
        <v>0.0515865617</v>
      </c>
      <c r="Q34" s="64">
        <f t="shared" si="30"/>
        <v>0.0515865617</v>
      </c>
      <c r="R34" s="64">
        <f t="shared" si="30"/>
        <v>0.0515865617</v>
      </c>
      <c r="S34" s="64">
        <f t="shared" si="30"/>
        <v>0.0515865617</v>
      </c>
      <c r="T34" s="64">
        <f t="shared" si="30"/>
        <v>0.0515865617</v>
      </c>
      <c r="U34" s="64"/>
      <c r="V34" s="64"/>
      <c r="W34" s="65"/>
      <c r="X34" s="19"/>
      <c r="Y34" s="19"/>
      <c r="Z34" s="19"/>
      <c r="AA34" s="19"/>
    </row>
    <row r="35">
      <c r="A35" s="35" t="s">
        <v>21</v>
      </c>
      <c r="B35" s="57">
        <v>5498.0</v>
      </c>
      <c r="C35" s="57">
        <v>6801.0</v>
      </c>
      <c r="D35" s="57">
        <v>7499.0</v>
      </c>
      <c r="E35" s="57">
        <v>6262.0</v>
      </c>
      <c r="F35" s="57">
        <v>6862.0</v>
      </c>
      <c r="G35" s="57">
        <v>9640.0</v>
      </c>
      <c r="H35" s="58">
        <v>12534.0</v>
      </c>
      <c r="I35" s="58">
        <v>13866.0</v>
      </c>
      <c r="J35" s="58">
        <v>12769.0</v>
      </c>
      <c r="K35" s="43">
        <v>17694.0</v>
      </c>
      <c r="L35" s="43">
        <v>26089.0</v>
      </c>
      <c r="M35" s="61">
        <v>29697.0</v>
      </c>
      <c r="N35" s="67">
        <f>N36*FS_Forecast!N4</f>
        <v>29128.56176</v>
      </c>
      <c r="O35" s="67">
        <f>O36*FS_Forecast!O4</f>
        <v>29530.14024</v>
      </c>
      <c r="P35" s="67">
        <f>P36*FS_Forecast!P4</f>
        <v>30179.4022</v>
      </c>
      <c r="Q35" s="67">
        <f>Q36*FS_Forecast!Q4</f>
        <v>31090.4102</v>
      </c>
      <c r="R35" s="67">
        <f>R36*FS_Forecast!R4</f>
        <v>32283.85964</v>
      </c>
      <c r="S35" s="67">
        <f>S36*FS_Forecast!S4</f>
        <v>33787.84897</v>
      </c>
      <c r="T35" s="67">
        <f>T36*FS_Forecast!T4</f>
        <v>35646.18066</v>
      </c>
      <c r="U35" s="60"/>
      <c r="V35" s="60"/>
      <c r="W35" s="65"/>
      <c r="X35" s="19"/>
      <c r="Y35" s="19"/>
      <c r="Z35" s="19"/>
      <c r="AA35" s="19"/>
    </row>
    <row r="36">
      <c r="A36" s="29" t="s">
        <v>22</v>
      </c>
      <c r="B36" s="68">
        <f t="shared" ref="B36:L36" si="31">B35/B4</f>
        <v>0.04213866364</v>
      </c>
      <c r="C36" s="68">
        <f t="shared" si="31"/>
        <v>0.04328896866</v>
      </c>
      <c r="D36" s="68">
        <f t="shared" si="31"/>
        <v>0.0405702229</v>
      </c>
      <c r="E36" s="68">
        <f t="shared" si="31"/>
        <v>0.03112960395</v>
      </c>
      <c r="F36" s="68">
        <f t="shared" si="31"/>
        <v>0.03032968393</v>
      </c>
      <c r="G36" s="68">
        <f t="shared" si="31"/>
        <v>0.03980921311</v>
      </c>
      <c r="H36" s="68">
        <f t="shared" si="31"/>
        <v>0.04874368537</v>
      </c>
      <c r="I36" s="68">
        <f t="shared" si="31"/>
        <v>0.04821329847</v>
      </c>
      <c r="J36" s="68">
        <f t="shared" si="31"/>
        <v>0.03939079843</v>
      </c>
      <c r="K36" s="68">
        <f t="shared" si="31"/>
        <v>0.04761289698</v>
      </c>
      <c r="L36" s="68">
        <f t="shared" si="31"/>
        <v>0.06517720184</v>
      </c>
      <c r="M36" s="69">
        <f>M35/FS_Forecast!M4</f>
        <v>0.0663520769</v>
      </c>
      <c r="N36" s="64">
        <f t="shared" ref="N36:T36" si="32">M36</f>
        <v>0.0663520769</v>
      </c>
      <c r="O36" s="64">
        <f t="shared" si="32"/>
        <v>0.0663520769</v>
      </c>
      <c r="P36" s="64">
        <f t="shared" si="32"/>
        <v>0.0663520769</v>
      </c>
      <c r="Q36" s="64">
        <f t="shared" si="32"/>
        <v>0.0663520769</v>
      </c>
      <c r="R36" s="64">
        <f t="shared" si="32"/>
        <v>0.0663520769</v>
      </c>
      <c r="S36" s="64">
        <f t="shared" si="32"/>
        <v>0.0663520769</v>
      </c>
      <c r="T36" s="64">
        <f t="shared" si="32"/>
        <v>0.0663520769</v>
      </c>
      <c r="U36" s="60"/>
      <c r="V36" s="60"/>
      <c r="W36" s="65"/>
      <c r="X36" s="19"/>
      <c r="Y36" s="19"/>
      <c r="Z36" s="19"/>
      <c r="AA36" s="19"/>
    </row>
    <row r="37">
      <c r="A37" s="35" t="s">
        <v>23</v>
      </c>
      <c r="B37" s="57">
        <v>2962.0</v>
      </c>
      <c r="C37" s="57">
        <v>2998.0</v>
      </c>
      <c r="D37" s="57">
        <v>3105.0</v>
      </c>
      <c r="E37" s="57">
        <v>3101.0</v>
      </c>
      <c r="F37" s="57">
        <v>3032.0</v>
      </c>
      <c r="G37" s="57">
        <v>3076.0</v>
      </c>
      <c r="H37" s="58">
        <v>4076.0</v>
      </c>
      <c r="I37" s="58">
        <v>4449.0</v>
      </c>
      <c r="J37" s="58">
        <v>4087.0</v>
      </c>
      <c r="K37" s="43">
        <v>3755.0</v>
      </c>
      <c r="L37" s="43" t="s">
        <v>24</v>
      </c>
      <c r="M37" s="43" t="s">
        <v>24</v>
      </c>
      <c r="N37" s="70" t="s">
        <v>24</v>
      </c>
      <c r="O37" s="70" t="s">
        <v>24</v>
      </c>
      <c r="P37" s="70" t="s">
        <v>24</v>
      </c>
      <c r="Q37" s="70" t="s">
        <v>24</v>
      </c>
      <c r="R37" s="70" t="s">
        <v>24</v>
      </c>
      <c r="S37" s="70" t="s">
        <v>24</v>
      </c>
      <c r="T37" s="70" t="s">
        <v>24</v>
      </c>
      <c r="U37" s="71"/>
      <c r="V37" s="71"/>
      <c r="W37" s="65"/>
      <c r="X37" s="19"/>
      <c r="Y37" s="19"/>
      <c r="Z37" s="19"/>
      <c r="AA37" s="19"/>
    </row>
    <row r="38">
      <c r="A38" s="35" t="s">
        <v>25</v>
      </c>
      <c r="B38" s="57">
        <v>556.0</v>
      </c>
      <c r="C38" s="57">
        <v>860.0</v>
      </c>
      <c r="D38" s="57" t="s">
        <v>24</v>
      </c>
      <c r="E38" s="57" t="s">
        <v>24</v>
      </c>
      <c r="F38" s="57" t="s">
        <v>24</v>
      </c>
      <c r="G38" s="57" t="s">
        <v>24</v>
      </c>
      <c r="H38" s="57" t="s">
        <v>24</v>
      </c>
      <c r="I38" s="57" t="s">
        <v>24</v>
      </c>
      <c r="J38" s="57" t="s">
        <v>24</v>
      </c>
      <c r="K38" s="57" t="s">
        <v>24</v>
      </c>
      <c r="L38" s="57" t="s">
        <v>24</v>
      </c>
      <c r="M38" s="57" t="s">
        <v>24</v>
      </c>
      <c r="N38" s="72" t="s">
        <v>24</v>
      </c>
      <c r="O38" s="72" t="s">
        <v>24</v>
      </c>
      <c r="P38" s="72" t="s">
        <v>24</v>
      </c>
      <c r="Q38" s="72" t="s">
        <v>24</v>
      </c>
      <c r="R38" s="72" t="s">
        <v>24</v>
      </c>
      <c r="S38" s="72" t="s">
        <v>24</v>
      </c>
      <c r="T38" s="72" t="s">
        <v>24</v>
      </c>
      <c r="U38" s="73"/>
      <c r="V38" s="73"/>
      <c r="W38" s="65"/>
      <c r="X38" s="19"/>
      <c r="Y38" s="19"/>
      <c r="Z38" s="19"/>
      <c r="AA38" s="19"/>
    </row>
    <row r="39">
      <c r="A39" s="35" t="s">
        <v>26</v>
      </c>
      <c r="B39" s="57">
        <v>1052.0</v>
      </c>
      <c r="C39" s="57">
        <v>1546.0</v>
      </c>
      <c r="D39" s="57">
        <v>1848.0</v>
      </c>
      <c r="E39" s="57">
        <v>2663.0</v>
      </c>
      <c r="F39" s="57">
        <v>3086.0</v>
      </c>
      <c r="G39" s="57">
        <v>3851.0</v>
      </c>
      <c r="H39" s="58">
        <v>4457.0</v>
      </c>
      <c r="I39" s="58">
        <v>5320.0</v>
      </c>
      <c r="J39" s="58">
        <v>6621.0</v>
      </c>
      <c r="K39" s="43">
        <v>6084.0</v>
      </c>
      <c r="L39" s="43">
        <v>8212.0</v>
      </c>
      <c r="M39" s="61">
        <v>9746.0</v>
      </c>
      <c r="N39" s="67">
        <f>N40*FS_Forecast!N4</f>
        <v>7756.468056</v>
      </c>
      <c r="O39" s="67">
        <f>O40*FS_Forecast!O4</f>
        <v>7863.401955</v>
      </c>
      <c r="P39" s="67">
        <f>P40*FS_Forecast!P4</f>
        <v>8036.289985</v>
      </c>
      <c r="Q39" s="67">
        <f>Q40*FS_Forecast!Q4</f>
        <v>8278.876781</v>
      </c>
      <c r="R39" s="67">
        <f>R40*FS_Forecast!R4</f>
        <v>8596.673192</v>
      </c>
      <c r="S39" s="67">
        <f>S40*FS_Forecast!S4</f>
        <v>8997.16139</v>
      </c>
      <c r="T39" s="67">
        <f>T40*FS_Forecast!T4</f>
        <v>9492.005266</v>
      </c>
      <c r="U39" s="60"/>
      <c r="V39" s="60"/>
      <c r="W39" s="65"/>
      <c r="X39" s="19"/>
      <c r="Y39" s="19"/>
      <c r="Z39" s="19"/>
      <c r="AA39" s="19"/>
    </row>
    <row r="40">
      <c r="A40" s="29" t="s">
        <v>27</v>
      </c>
      <c r="B40" s="68">
        <f t="shared" ref="B40:L40" si="33">B39/B4</f>
        <v>0.008062909085</v>
      </c>
      <c r="C40" s="68">
        <f t="shared" si="33"/>
        <v>0.009840427225</v>
      </c>
      <c r="D40" s="68">
        <f t="shared" si="33"/>
        <v>0.009997835966</v>
      </c>
      <c r="E40" s="68">
        <f t="shared" si="33"/>
        <v>0.01323828414</v>
      </c>
      <c r="F40" s="68">
        <f t="shared" si="33"/>
        <v>0.01363995987</v>
      </c>
      <c r="G40" s="68">
        <f t="shared" si="33"/>
        <v>0.01590303731</v>
      </c>
      <c r="H40" s="68">
        <f t="shared" si="33"/>
        <v>0.01733290296</v>
      </c>
      <c r="I40" s="68">
        <f t="shared" si="33"/>
        <v>0.01849810673</v>
      </c>
      <c r="J40" s="68">
        <f t="shared" si="33"/>
        <v>0.0204249727</v>
      </c>
      <c r="K40" s="68">
        <f t="shared" si="33"/>
        <v>0.01637147424</v>
      </c>
      <c r="L40" s="68">
        <f t="shared" si="33"/>
        <v>0.02051574156</v>
      </c>
      <c r="M40" s="63">
        <f>M39/FS_Forecast!M4</f>
        <v>0.02177551071</v>
      </c>
      <c r="N40" s="64">
        <f>IFERROR(__xludf.DUMMYFUNCTION("AVERAGE.WEIGHTED(B40:M40,B1:M1)"),0.017668492154409552)</f>
        <v>0.01766849215</v>
      </c>
      <c r="O40" s="64">
        <f t="shared" ref="O40:T40" si="34">N40</f>
        <v>0.01766849215</v>
      </c>
      <c r="P40" s="64">
        <f t="shared" si="34"/>
        <v>0.01766849215</v>
      </c>
      <c r="Q40" s="64">
        <f t="shared" si="34"/>
        <v>0.01766849215</v>
      </c>
      <c r="R40" s="64">
        <f t="shared" si="34"/>
        <v>0.01766849215</v>
      </c>
      <c r="S40" s="64">
        <f t="shared" si="34"/>
        <v>0.01766849215</v>
      </c>
      <c r="T40" s="64">
        <f t="shared" si="34"/>
        <v>0.01766849215</v>
      </c>
      <c r="U40" s="64"/>
      <c r="V40" s="64"/>
      <c r="W40" s="65"/>
      <c r="X40" s="19"/>
      <c r="Y40" s="19"/>
      <c r="Z40" s="19"/>
      <c r="AA40" s="19"/>
    </row>
    <row r="41">
      <c r="A41" s="74" t="s">
        <v>28</v>
      </c>
      <c r="B41" s="75">
        <v>23556.0</v>
      </c>
      <c r="C41" s="75">
        <v>31639.0</v>
      </c>
      <c r="D41" s="75">
        <v>33879.0</v>
      </c>
      <c r="E41" s="75">
        <v>37084.0</v>
      </c>
      <c r="F41" s="75">
        <v>38692.0</v>
      </c>
      <c r="G41" s="75">
        <v>42634.0</v>
      </c>
      <c r="H41" s="76">
        <v>53718.0</v>
      </c>
      <c r="I41" s="76">
        <v>61758.0</v>
      </c>
      <c r="J41" s="76">
        <v>69069.0</v>
      </c>
      <c r="K41" s="77">
        <v>78437.0</v>
      </c>
      <c r="L41" s="77">
        <v>85779.0</v>
      </c>
      <c r="M41" s="76">
        <f t="shared" ref="M41:T41" si="35">SUM(M33+M35+M39)</f>
        <v>62461</v>
      </c>
      <c r="N41" s="78">
        <f t="shared" si="35"/>
        <v>59531.5304</v>
      </c>
      <c r="O41" s="78">
        <f t="shared" si="35"/>
        <v>60352.25687</v>
      </c>
      <c r="P41" s="78">
        <f t="shared" si="35"/>
        <v>61679.18672</v>
      </c>
      <c r="Q41" s="78">
        <f t="shared" si="35"/>
        <v>63541.06034</v>
      </c>
      <c r="R41" s="78">
        <f t="shared" si="35"/>
        <v>65980.17394</v>
      </c>
      <c r="S41" s="78">
        <f t="shared" si="35"/>
        <v>69053.9538</v>
      </c>
      <c r="T41" s="78">
        <f t="shared" si="35"/>
        <v>72851.92126</v>
      </c>
      <c r="U41" s="12"/>
      <c r="V41" s="12"/>
      <c r="W41" s="65"/>
      <c r="X41" s="19"/>
      <c r="Y41" s="19"/>
      <c r="Z41" s="19"/>
      <c r="AA41" s="19"/>
    </row>
    <row r="42">
      <c r="A42" s="35" t="s">
        <v>29</v>
      </c>
      <c r="B42" s="57">
        <v>18827.0</v>
      </c>
      <c r="C42" s="57">
        <v>18792.0</v>
      </c>
      <c r="D42" s="57">
        <v>23868.0</v>
      </c>
      <c r="E42" s="57">
        <v>28341.0</v>
      </c>
      <c r="F42" s="57">
        <v>32510.0</v>
      </c>
      <c r="G42" s="57">
        <v>37209.0</v>
      </c>
      <c r="H42" s="58">
        <v>41242.0</v>
      </c>
      <c r="I42" s="58">
        <v>43114.0</v>
      </c>
      <c r="J42" s="58">
        <v>43728.0</v>
      </c>
      <c r="K42" s="43">
        <v>47609.0</v>
      </c>
      <c r="L42" s="43">
        <v>52354.0</v>
      </c>
      <c r="M42" s="59">
        <v>54251.0</v>
      </c>
      <c r="N42" s="23"/>
      <c r="O42" s="23"/>
      <c r="P42" s="23"/>
      <c r="Q42" s="23"/>
      <c r="R42" s="23"/>
      <c r="S42" s="23"/>
      <c r="T42" s="23"/>
      <c r="U42" s="23"/>
      <c r="V42" s="23"/>
      <c r="W42" s="65"/>
      <c r="X42" s="19"/>
      <c r="Y42" s="19"/>
      <c r="Z42" s="19"/>
      <c r="AA42" s="19"/>
    </row>
    <row r="43">
      <c r="A43" s="35" t="s">
        <v>30</v>
      </c>
      <c r="B43" s="57">
        <v>4418.0</v>
      </c>
      <c r="C43" s="57">
        <v>4861.0</v>
      </c>
      <c r="D43" s="57">
        <v>5901.0</v>
      </c>
      <c r="E43" s="57">
        <v>7013.0</v>
      </c>
      <c r="F43" s="57">
        <v>8458.0</v>
      </c>
      <c r="G43" s="57">
        <v>8704.0</v>
      </c>
      <c r="H43" s="58">
        <v>8626.0</v>
      </c>
      <c r="I43" s="58">
        <v>8969.0</v>
      </c>
      <c r="J43" s="58">
        <v>10128.0</v>
      </c>
      <c r="K43" s="43">
        <v>11450.0</v>
      </c>
      <c r="L43" s="43">
        <v>10553.0</v>
      </c>
      <c r="M43" s="59">
        <v>10762.0</v>
      </c>
      <c r="N43" s="49">
        <f>N44*FS_Forecast!N4</f>
        <v>10556.00167</v>
      </c>
      <c r="O43" s="49">
        <f>O44*FS_Forecast!O4</f>
        <v>10701.53111</v>
      </c>
      <c r="P43" s="49">
        <f>P44*FS_Forecast!P4</f>
        <v>10936.81943</v>
      </c>
      <c r="Q43" s="49">
        <f>Q44*FS_Forecast!Q4</f>
        <v>11266.96281</v>
      </c>
      <c r="R43" s="49">
        <f>R44*FS_Forecast!R4</f>
        <v>11699.46114</v>
      </c>
      <c r="S43" s="49">
        <f>S44*FS_Forecast!S4</f>
        <v>12244.49711</v>
      </c>
      <c r="T43" s="49">
        <f>T44*FS_Forecast!T4</f>
        <v>12917.94445</v>
      </c>
      <c r="U43" s="6"/>
      <c r="V43" s="6"/>
      <c r="W43" s="65"/>
      <c r="X43" s="19"/>
      <c r="Y43" s="19"/>
      <c r="Z43" s="19"/>
      <c r="AA43" s="19"/>
    </row>
    <row r="44">
      <c r="A44" s="29" t="s">
        <v>31</v>
      </c>
      <c r="B44" s="68">
        <f t="shared" ref="B44:L44" si="36">B43/B4</f>
        <v>0.03386115241</v>
      </c>
      <c r="C44" s="68">
        <f t="shared" si="36"/>
        <v>0.03094069647</v>
      </c>
      <c r="D44" s="68">
        <f t="shared" si="36"/>
        <v>0.03192490803</v>
      </c>
      <c r="E44" s="68">
        <f t="shared" si="36"/>
        <v>0.03486296909</v>
      </c>
      <c r="F44" s="68">
        <f t="shared" si="36"/>
        <v>0.03738392111</v>
      </c>
      <c r="G44" s="68">
        <f t="shared" si="36"/>
        <v>0.03594392022</v>
      </c>
      <c r="H44" s="68">
        <f t="shared" si="36"/>
        <v>0.03354579783</v>
      </c>
      <c r="I44" s="68">
        <f t="shared" si="36"/>
        <v>0.03118599985</v>
      </c>
      <c r="J44" s="68">
        <f t="shared" si="36"/>
        <v>0.03124363744</v>
      </c>
      <c r="K44" s="68">
        <f t="shared" si="36"/>
        <v>0.03081087772</v>
      </c>
      <c r="L44" s="68">
        <f t="shared" si="36"/>
        <v>0.0263641769</v>
      </c>
      <c r="M44" s="69">
        <f>M43/FS_Forecast!M4</f>
        <v>0.02404556189</v>
      </c>
      <c r="N44" s="24">
        <f t="shared" ref="N44:T44" si="37">M44</f>
        <v>0.02404556189</v>
      </c>
      <c r="O44" s="24">
        <f t="shared" si="37"/>
        <v>0.02404556189</v>
      </c>
      <c r="P44" s="24">
        <f t="shared" si="37"/>
        <v>0.02404556189</v>
      </c>
      <c r="Q44" s="24">
        <f t="shared" si="37"/>
        <v>0.02404556189</v>
      </c>
      <c r="R44" s="24">
        <f t="shared" si="37"/>
        <v>0.02404556189</v>
      </c>
      <c r="S44" s="24">
        <f t="shared" si="37"/>
        <v>0.02404556189</v>
      </c>
      <c r="T44" s="24">
        <f t="shared" si="37"/>
        <v>0.02404556189</v>
      </c>
      <c r="U44" s="23"/>
      <c r="V44" s="23"/>
      <c r="W44" s="65"/>
      <c r="X44" s="19"/>
      <c r="Y44" s="19"/>
      <c r="Z44" s="19"/>
      <c r="AA44" s="19"/>
    </row>
    <row r="45">
      <c r="A45" s="35" t="s">
        <v>32</v>
      </c>
      <c r="B45" s="57">
        <v>32940.0</v>
      </c>
      <c r="C45" s="57">
        <v>44453.0</v>
      </c>
      <c r="D45" s="57">
        <v>47584.0</v>
      </c>
      <c r="E45" s="57">
        <v>54556.0</v>
      </c>
      <c r="F45" s="57">
        <v>58910.0</v>
      </c>
      <c r="G45" s="57">
        <v>65659.0</v>
      </c>
      <c r="H45" s="58">
        <v>71337.0</v>
      </c>
      <c r="I45" s="58">
        <v>75795.0</v>
      </c>
      <c r="J45" s="58">
        <v>93352.0</v>
      </c>
      <c r="K45" s="43">
        <v>103732.0</v>
      </c>
      <c r="L45" s="43">
        <v>106734.0</v>
      </c>
      <c r="M45" s="59">
        <v>110499.0</v>
      </c>
      <c r="N45" s="67">
        <f t="shared" ref="N45:T45" si="38">M45*(1+N46)</f>
        <v>140154.578</v>
      </c>
      <c r="O45" s="67">
        <f t="shared" si="38"/>
        <v>142086.8073</v>
      </c>
      <c r="P45" s="67">
        <f t="shared" si="38"/>
        <v>145210.7871</v>
      </c>
      <c r="Q45" s="67">
        <f t="shared" si="38"/>
        <v>149594.1803</v>
      </c>
      <c r="R45" s="67">
        <f t="shared" si="38"/>
        <v>155336.5649</v>
      </c>
      <c r="S45" s="67">
        <f t="shared" si="38"/>
        <v>162573.1388</v>
      </c>
      <c r="T45" s="67">
        <f t="shared" si="38"/>
        <v>171514.6614</v>
      </c>
      <c r="U45" s="67"/>
      <c r="V45" s="67"/>
      <c r="W45" s="65"/>
      <c r="X45" s="19"/>
      <c r="Y45" s="19"/>
      <c r="Z45" s="19"/>
      <c r="AA45" s="19"/>
    </row>
    <row r="46">
      <c r="A46" s="29" t="s">
        <v>33</v>
      </c>
      <c r="B46" s="68">
        <f t="shared" ref="B46:L46" si="39">B45/B4</f>
        <v>0.2524640925</v>
      </c>
      <c r="C46" s="68">
        <f t="shared" si="39"/>
        <v>0.2829472907</v>
      </c>
      <c r="D46" s="68">
        <f t="shared" si="39"/>
        <v>0.257433456</v>
      </c>
      <c r="E46" s="68">
        <f t="shared" si="39"/>
        <v>0.2712083476</v>
      </c>
      <c r="F46" s="68">
        <f t="shared" si="39"/>
        <v>0.2603791431</v>
      </c>
      <c r="G46" s="68">
        <f t="shared" si="39"/>
        <v>0.2711445149</v>
      </c>
      <c r="H46" s="68">
        <f t="shared" si="39"/>
        <v>0.2774236703</v>
      </c>
      <c r="I46" s="68">
        <f t="shared" si="39"/>
        <v>0.2635458645</v>
      </c>
      <c r="J46" s="68">
        <f t="shared" si="39"/>
        <v>0.2879794671</v>
      </c>
      <c r="K46" s="68">
        <f t="shared" si="39"/>
        <v>0.2791330976</v>
      </c>
      <c r="L46" s="68">
        <f t="shared" si="39"/>
        <v>0.2666496785</v>
      </c>
      <c r="M46" s="69">
        <f>M45/FS_Forecast!M4</f>
        <v>0.2468881754</v>
      </c>
      <c r="N46" s="64">
        <f>IFERROR(__xludf.DUMMYFUNCTION("AVERAGE.WEIGHTED(B46:M46,B1:M1)"),0.26837869991119045)</f>
        <v>0.2683786999</v>
      </c>
      <c r="O46" s="64">
        <f>FS_Forecast!O5</f>
        <v>0.01378641644</v>
      </c>
      <c r="P46" s="64">
        <f>FS_Forecast!P5</f>
        <v>0.02198641644</v>
      </c>
      <c r="Q46" s="64">
        <f>FS_Forecast!Q5</f>
        <v>0.03018641644</v>
      </c>
      <c r="R46" s="64">
        <f>FS_Forecast!R5</f>
        <v>0.03838641644</v>
      </c>
      <c r="S46" s="64">
        <f>FS_Forecast!S5</f>
        <v>0.04658641644</v>
      </c>
      <c r="T46" s="64">
        <f>FS_Forecast!T5</f>
        <v>0.055</v>
      </c>
      <c r="U46" s="64"/>
      <c r="V46" s="64"/>
      <c r="W46" s="65"/>
      <c r="X46" s="19"/>
      <c r="Y46" s="19"/>
      <c r="Z46" s="19"/>
      <c r="AA46" s="19"/>
    </row>
    <row r="47">
      <c r="A47" s="35" t="s">
        <v>34</v>
      </c>
      <c r="B47" s="57">
        <v>3669.0</v>
      </c>
      <c r="C47" s="57">
        <v>8391.0</v>
      </c>
      <c r="D47" s="57">
        <v>8541.0</v>
      </c>
      <c r="E47" s="57">
        <v>8489.0</v>
      </c>
      <c r="F47" s="57">
        <v>9325.0</v>
      </c>
      <c r="G47" s="57">
        <v>10349.0</v>
      </c>
      <c r="H47" s="58">
        <v>10856.0</v>
      </c>
      <c r="I47" s="58">
        <v>10044.0</v>
      </c>
      <c r="J47" s="58">
        <v>14401.0</v>
      </c>
      <c r="K47" s="43">
        <v>15194.0</v>
      </c>
      <c r="L47" s="43">
        <v>23268.0</v>
      </c>
      <c r="M47" s="59">
        <v>20474.0</v>
      </c>
      <c r="N47" s="38">
        <f>N48*FS_Forecast!N4</f>
        <v>19568.34087</v>
      </c>
      <c r="O47" s="38">
        <f>O48*FS_Forecast!O4</f>
        <v>19838.11817</v>
      </c>
      <c r="P47" s="38">
        <f>P48*FS_Forecast!P4</f>
        <v>20274.2873</v>
      </c>
      <c r="Q47" s="38">
        <f>Q48*FS_Forecast!Q4</f>
        <v>20886.29538</v>
      </c>
      <c r="R47" s="38">
        <f>R48*FS_Forecast!R4</f>
        <v>21688.04541</v>
      </c>
      <c r="S47" s="38">
        <f>S48*FS_Forecast!S4</f>
        <v>22698.41372</v>
      </c>
      <c r="T47" s="38">
        <f>T48*FS_Forecast!T4</f>
        <v>23946.82648</v>
      </c>
      <c r="U47" s="23"/>
      <c r="V47" s="23"/>
      <c r="W47" s="65"/>
      <c r="X47" s="19"/>
      <c r="Y47" s="19"/>
      <c r="Z47" s="19"/>
      <c r="AA47" s="19"/>
    </row>
    <row r="48">
      <c r="A48" s="29" t="s">
        <v>35</v>
      </c>
      <c r="B48" s="68">
        <f t="shared" ref="B48:L48" si="40">B47/B4</f>
        <v>0.02812054509</v>
      </c>
      <c r="C48" s="68">
        <f t="shared" si="40"/>
        <v>0.05340945979</v>
      </c>
      <c r="D48" s="68">
        <f t="shared" si="40"/>
        <v>0.04620753084</v>
      </c>
      <c r="E48" s="68">
        <f t="shared" si="40"/>
        <v>0.0422004484</v>
      </c>
      <c r="F48" s="68">
        <f t="shared" si="40"/>
        <v>0.04121601612</v>
      </c>
      <c r="G48" s="68">
        <f t="shared" si="40"/>
        <v>0.04273708988</v>
      </c>
      <c r="H48" s="68">
        <f t="shared" si="40"/>
        <v>0.04221808269</v>
      </c>
      <c r="I48" s="68">
        <f t="shared" si="40"/>
        <v>0.03492386916</v>
      </c>
      <c r="J48" s="68">
        <f t="shared" si="40"/>
        <v>0.04442531821</v>
      </c>
      <c r="K48" s="68">
        <f t="shared" si="40"/>
        <v>0.0408856311</v>
      </c>
      <c r="L48" s="68">
        <f t="shared" si="40"/>
        <v>0.05812959993</v>
      </c>
      <c r="M48" s="69">
        <f>M47/FS_Forecast!M4</f>
        <v>0.04574510632</v>
      </c>
      <c r="N48" s="24">
        <f>IFERROR(__xludf.DUMMYFUNCTION("AVERAGE.WEIGHTED(B48:M48,B1:M1)"),0.04457480836775548)</f>
        <v>0.04457480837</v>
      </c>
      <c r="O48" s="24">
        <f t="shared" ref="O48:T48" si="41">N48</f>
        <v>0.04457480837</v>
      </c>
      <c r="P48" s="24">
        <f t="shared" si="41"/>
        <v>0.04457480837</v>
      </c>
      <c r="Q48" s="24">
        <f t="shared" si="41"/>
        <v>0.04457480837</v>
      </c>
      <c r="R48" s="24">
        <f t="shared" si="41"/>
        <v>0.04457480837</v>
      </c>
      <c r="S48" s="24">
        <f t="shared" si="41"/>
        <v>0.04457480837</v>
      </c>
      <c r="T48" s="24">
        <f t="shared" si="41"/>
        <v>0.04457480837</v>
      </c>
      <c r="U48" s="23"/>
      <c r="V48" s="23"/>
      <c r="W48" s="65"/>
      <c r="X48" s="19"/>
      <c r="Y48" s="19"/>
      <c r="Z48" s="19"/>
      <c r="AA48" s="19"/>
    </row>
    <row r="49">
      <c r="A49" s="35" t="s">
        <v>36</v>
      </c>
      <c r="B49" s="57">
        <v>2972.0</v>
      </c>
      <c r="C49" s="57">
        <v>3247.0</v>
      </c>
      <c r="D49" s="57">
        <v>3037.0</v>
      </c>
      <c r="E49" s="57">
        <v>3575.0</v>
      </c>
      <c r="F49" s="57">
        <v>4326.0</v>
      </c>
      <c r="G49" s="57">
        <v>9334.0</v>
      </c>
      <c r="H49" s="58">
        <v>11510.0</v>
      </c>
      <c r="I49" s="58">
        <v>12526.0</v>
      </c>
      <c r="J49" s="58">
        <v>15027.0</v>
      </c>
      <c r="K49" s="43">
        <v>17298.0</v>
      </c>
      <c r="L49" s="43">
        <v>19590.0</v>
      </c>
      <c r="M49" s="59">
        <v>23013.0</v>
      </c>
      <c r="N49" s="38">
        <f>N50*FS_Forecast!N4</f>
        <v>18073.17675</v>
      </c>
      <c r="O49" s="38">
        <f>O50*FS_Forecast!O4</f>
        <v>18322.34109</v>
      </c>
      <c r="P49" s="38">
        <f>P50*FS_Forecast!P4</f>
        <v>18725.18371</v>
      </c>
      <c r="Q49" s="38">
        <f>Q50*FS_Forecast!Q4</f>
        <v>19290.4299</v>
      </c>
      <c r="R49" s="38">
        <f>R50*FS_Forecast!R4</f>
        <v>20030.92038</v>
      </c>
      <c r="S49" s="38">
        <f>S50*FS_Forecast!S4</f>
        <v>20964.08918</v>
      </c>
      <c r="T49" s="38">
        <f>T50*FS_Forecast!T4</f>
        <v>22117.11408</v>
      </c>
      <c r="U49" s="23"/>
      <c r="V49" s="23"/>
      <c r="W49" s="65"/>
      <c r="X49" s="19"/>
      <c r="Y49" s="19"/>
      <c r="Z49" s="19"/>
      <c r="AA49" s="19"/>
    </row>
    <row r="50">
      <c r="A50" s="29" t="s">
        <v>37</v>
      </c>
      <c r="B50" s="68">
        <f t="shared" ref="B50:M50" si="42">B49/B4</f>
        <v>0.0227784846</v>
      </c>
      <c r="C50" s="68">
        <f t="shared" si="42"/>
        <v>0.02066744321</v>
      </c>
      <c r="D50" s="68">
        <f t="shared" si="42"/>
        <v>0.01643042631</v>
      </c>
      <c r="E50" s="68">
        <f t="shared" si="42"/>
        <v>0.0177720112</v>
      </c>
      <c r="F50" s="68">
        <f t="shared" si="42"/>
        <v>0.01912069552</v>
      </c>
      <c r="G50" s="68">
        <f t="shared" si="42"/>
        <v>0.03854555966</v>
      </c>
      <c r="H50" s="68">
        <f t="shared" si="42"/>
        <v>0.04476143439</v>
      </c>
      <c r="I50" s="68">
        <f t="shared" si="42"/>
        <v>0.04355400091</v>
      </c>
      <c r="J50" s="68">
        <f t="shared" si="42"/>
        <v>0.0463564514</v>
      </c>
      <c r="K50" s="68">
        <f t="shared" si="42"/>
        <v>0.04654729806</v>
      </c>
      <c r="L50" s="68">
        <f t="shared" si="42"/>
        <v>0.04894098601</v>
      </c>
      <c r="M50" s="68">
        <f t="shared" si="42"/>
        <v>0.05141799999</v>
      </c>
      <c r="N50" s="24">
        <f>IFERROR(__xludf.DUMMYFUNCTION("AVERAGE.WEIGHTED(B50:M50,B1:M1)"),0.04116896753308679)</f>
        <v>0.04116896753</v>
      </c>
      <c r="O50" s="24">
        <f t="shared" ref="O50:T50" si="43">N50</f>
        <v>0.04116896753</v>
      </c>
      <c r="P50" s="24">
        <f t="shared" si="43"/>
        <v>0.04116896753</v>
      </c>
      <c r="Q50" s="24">
        <f t="shared" si="43"/>
        <v>0.04116896753</v>
      </c>
      <c r="R50" s="24">
        <f t="shared" si="43"/>
        <v>0.04116896753</v>
      </c>
      <c r="S50" s="24">
        <f t="shared" si="43"/>
        <v>0.04116896753</v>
      </c>
      <c r="T50" s="24">
        <f t="shared" si="43"/>
        <v>0.04116896753</v>
      </c>
      <c r="U50" s="23"/>
      <c r="V50" s="23"/>
      <c r="W50" s="65"/>
      <c r="X50" s="19"/>
      <c r="Y50" s="19"/>
      <c r="Z50" s="19"/>
      <c r="AA50" s="19"/>
    </row>
    <row r="51">
      <c r="A51" s="35" t="s">
        <v>38</v>
      </c>
      <c r="B51" s="79">
        <f t="shared" ref="B51:T51" si="44">SUM(B42,B43,B45,B47,B49)</f>
        <v>62826</v>
      </c>
      <c r="C51" s="79">
        <f t="shared" si="44"/>
        <v>79744</v>
      </c>
      <c r="D51" s="79">
        <f t="shared" si="44"/>
        <v>88931</v>
      </c>
      <c r="E51" s="79">
        <f t="shared" si="44"/>
        <v>101974</v>
      </c>
      <c r="F51" s="79">
        <f t="shared" si="44"/>
        <v>113529</v>
      </c>
      <c r="G51" s="79">
        <f t="shared" si="44"/>
        <v>131255</v>
      </c>
      <c r="H51" s="79">
        <f t="shared" si="44"/>
        <v>143571</v>
      </c>
      <c r="I51" s="79">
        <f t="shared" si="44"/>
        <v>150448</v>
      </c>
      <c r="J51" s="79">
        <f t="shared" si="44"/>
        <v>176636</v>
      </c>
      <c r="K51" s="79">
        <f t="shared" si="44"/>
        <v>195283</v>
      </c>
      <c r="L51" s="80">
        <f t="shared" si="44"/>
        <v>212499</v>
      </c>
      <c r="M51" s="79">
        <f t="shared" si="44"/>
        <v>218999</v>
      </c>
      <c r="N51" s="81">
        <f t="shared" si="44"/>
        <v>188352.0973</v>
      </c>
      <c r="O51" s="81">
        <f t="shared" si="44"/>
        <v>190948.7977</v>
      </c>
      <c r="P51" s="81">
        <f t="shared" si="44"/>
        <v>195147.0775</v>
      </c>
      <c r="Q51" s="81">
        <f t="shared" si="44"/>
        <v>201037.8684</v>
      </c>
      <c r="R51" s="81">
        <f t="shared" si="44"/>
        <v>208754.9918</v>
      </c>
      <c r="S51" s="81">
        <f t="shared" si="44"/>
        <v>218480.1388</v>
      </c>
      <c r="T51" s="81">
        <f t="shared" si="44"/>
        <v>230496.5464</v>
      </c>
      <c r="U51" s="49"/>
      <c r="V51" s="49"/>
      <c r="W51" s="65"/>
      <c r="X51" s="19"/>
      <c r="Y51" s="19"/>
      <c r="Z51" s="19"/>
      <c r="AA51" s="19"/>
    </row>
    <row r="52">
      <c r="A52" s="82" t="s">
        <v>39</v>
      </c>
      <c r="B52" s="83">
        <v>86382.0</v>
      </c>
      <c r="C52" s="83">
        <v>111383.0</v>
      </c>
      <c r="D52" s="83">
        <v>122810.0</v>
      </c>
      <c r="E52" s="83">
        <v>139058.0</v>
      </c>
      <c r="F52" s="83">
        <v>152221.0</v>
      </c>
      <c r="G52" s="83">
        <v>173889.0</v>
      </c>
      <c r="H52" s="84">
        <v>197289.0</v>
      </c>
      <c r="I52" s="84">
        <v>212206.0</v>
      </c>
      <c r="J52" s="84">
        <v>245705.0</v>
      </c>
      <c r="K52" s="85">
        <v>273720.0</v>
      </c>
      <c r="L52" s="86">
        <v>298278.0</v>
      </c>
      <c r="M52" s="84">
        <f t="shared" ref="M52:T52" si="45">M51+M41</f>
        <v>281460</v>
      </c>
      <c r="N52" s="78">
        <f t="shared" si="45"/>
        <v>247883.6277</v>
      </c>
      <c r="O52" s="78">
        <f t="shared" si="45"/>
        <v>251301.0546</v>
      </c>
      <c r="P52" s="78">
        <f t="shared" si="45"/>
        <v>256826.2642</v>
      </c>
      <c r="Q52" s="78">
        <f t="shared" si="45"/>
        <v>264578.9288</v>
      </c>
      <c r="R52" s="78">
        <f t="shared" si="45"/>
        <v>274735.1657</v>
      </c>
      <c r="S52" s="78">
        <f t="shared" si="45"/>
        <v>287534.0926</v>
      </c>
      <c r="T52" s="78">
        <f t="shared" si="45"/>
        <v>303348.4677</v>
      </c>
      <c r="U52" s="12"/>
      <c r="V52" s="12"/>
      <c r="W52" s="65"/>
      <c r="X52" s="19"/>
      <c r="Y52" s="19"/>
      <c r="Z52" s="19"/>
      <c r="AA52" s="19"/>
    </row>
    <row r="53">
      <c r="A53" s="87"/>
      <c r="B53" s="56"/>
      <c r="C53" s="56"/>
      <c r="D53" s="88"/>
      <c r="E53" s="88"/>
      <c r="F53" s="88"/>
      <c r="G53" s="88"/>
      <c r="H53" s="89"/>
      <c r="I53" s="89"/>
      <c r="J53" s="89"/>
      <c r="K53" s="90"/>
      <c r="L53" s="90"/>
      <c r="M53" s="35"/>
      <c r="N53" s="65"/>
      <c r="O53" s="65"/>
      <c r="P53" s="65"/>
      <c r="Q53" s="65"/>
      <c r="R53" s="65"/>
      <c r="S53" s="65"/>
      <c r="T53" s="65"/>
      <c r="U53" s="23"/>
      <c r="V53" s="23"/>
      <c r="W53" s="65"/>
      <c r="X53" s="19"/>
      <c r="Y53" s="19"/>
      <c r="Z53" s="19"/>
      <c r="AA53" s="19"/>
    </row>
    <row r="54">
      <c r="A54" s="9" t="s">
        <v>40</v>
      </c>
      <c r="B54" s="56"/>
      <c r="C54" s="56"/>
      <c r="D54" s="88"/>
      <c r="E54" s="88"/>
      <c r="F54" s="88"/>
      <c r="G54" s="88"/>
      <c r="H54" s="89"/>
      <c r="I54" s="89"/>
      <c r="J54" s="89"/>
      <c r="K54" s="90"/>
      <c r="L54" s="90"/>
      <c r="M54" s="3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19"/>
      <c r="Y54" s="19"/>
      <c r="Z54" s="19"/>
      <c r="AA54" s="19"/>
    </row>
    <row r="55">
      <c r="A55" s="9" t="s">
        <v>41</v>
      </c>
      <c r="B55" s="56"/>
      <c r="C55" s="56"/>
      <c r="D55" s="88"/>
      <c r="E55" s="88"/>
      <c r="F55" s="88"/>
      <c r="G55" s="88"/>
      <c r="H55" s="89"/>
      <c r="I55" s="89"/>
      <c r="J55" s="89"/>
      <c r="K55" s="90"/>
      <c r="L55" s="90"/>
      <c r="M55" s="35"/>
      <c r="N55" s="65"/>
      <c r="O55" s="65"/>
      <c r="P55" s="65"/>
      <c r="Q55" s="65"/>
      <c r="R55" s="65"/>
      <c r="S55" s="65"/>
      <c r="T55" s="65"/>
      <c r="U55" s="65"/>
      <c r="V55" s="65"/>
      <c r="W55" s="91"/>
    </row>
    <row r="56">
      <c r="A56" s="35" t="s">
        <v>42</v>
      </c>
      <c r="B56" s="43">
        <v>14330.0</v>
      </c>
      <c r="C56" s="57">
        <v>14330.0</v>
      </c>
      <c r="D56" s="57">
        <v>16391.0</v>
      </c>
      <c r="E56" s="57">
        <v>17871.0</v>
      </c>
      <c r="F56" s="57">
        <v>19891.0</v>
      </c>
      <c r="G56" s="57">
        <v>21690.0</v>
      </c>
      <c r="H56" s="58">
        <v>21872.0</v>
      </c>
      <c r="I56" s="58">
        <v>24483.0</v>
      </c>
      <c r="J56" s="58">
        <v>29056.0</v>
      </c>
      <c r="K56" s="43">
        <v>32395.0</v>
      </c>
      <c r="L56" s="43">
        <v>34224.0</v>
      </c>
      <c r="M56" s="36">
        <v>39337.0</v>
      </c>
      <c r="N56" s="92">
        <f>N57*FS_Forecast!N7</f>
        <v>39059.71435</v>
      </c>
      <c r="O56" s="92">
        <f>O57*FS_Forecast!O7</f>
        <v>39037.51347</v>
      </c>
      <c r="P56" s="92">
        <f>P57*FS_Forecast!P7</f>
        <v>39895.8085</v>
      </c>
      <c r="Q56" s="92">
        <f>Q57*FS_Forecast!Q7</f>
        <v>41100.11999</v>
      </c>
      <c r="R56" s="92">
        <f>R57*FS_Forecast!R7</f>
        <v>42677.80631</v>
      </c>
      <c r="S56" s="92">
        <f>S57*FS_Forecast!S7</f>
        <v>44666.01237</v>
      </c>
      <c r="T56" s="92">
        <f>T57*FS_Forecast!T7</f>
        <v>47122.64305</v>
      </c>
      <c r="U56" s="93"/>
      <c r="V56" s="93"/>
      <c r="W56" s="65"/>
      <c r="X56" s="19"/>
      <c r="Y56" s="19"/>
      <c r="Z56" s="19"/>
      <c r="AA56" s="19"/>
      <c r="AB56" s="19"/>
    </row>
    <row r="57">
      <c r="A57" s="29" t="s">
        <v>43</v>
      </c>
      <c r="B57" s="40">
        <f t="shared" ref="B57:L57" si="46">B56/B7</f>
        <v>0.1207021445</v>
      </c>
      <c r="C57" s="40">
        <f t="shared" si="46"/>
        <v>0.0981049922</v>
      </c>
      <c r="D57" s="40">
        <f t="shared" si="46"/>
        <v>0.09534640219</v>
      </c>
      <c r="E57" s="40">
        <f t="shared" si="46"/>
        <v>0.09610648024</v>
      </c>
      <c r="F57" s="40">
        <f t="shared" si="46"/>
        <v>0.09521644017</v>
      </c>
      <c r="G57" s="40">
        <f t="shared" si="46"/>
        <v>0.09749629163</v>
      </c>
      <c r="H57" s="40">
        <f t="shared" si="46"/>
        <v>0.09317701588</v>
      </c>
      <c r="I57" s="40">
        <f t="shared" si="46"/>
        <v>0.09397598686</v>
      </c>
      <c r="J57" s="40">
        <f t="shared" si="46"/>
        <v>0.09825278044</v>
      </c>
      <c r="K57" s="40">
        <f t="shared" si="46"/>
        <v>0.09548611111</v>
      </c>
      <c r="L57" s="40">
        <f t="shared" si="46"/>
        <v>0.09300227451</v>
      </c>
      <c r="M57" s="40">
        <f>M56/FS_Forecast!M7</f>
        <v>0.09272302129</v>
      </c>
      <c r="N57" s="94">
        <f>IFERROR(__xludf.DUMMYFUNCTION("AVERAGE.WEIGHTED(B57:M57,B1:M1)"),0.09522207209327627)</f>
        <v>0.09522207209</v>
      </c>
      <c r="O57" s="94">
        <f t="shared" ref="O57:T57" si="47">N57</f>
        <v>0.09522207209</v>
      </c>
      <c r="P57" s="94">
        <f t="shared" si="47"/>
        <v>0.09522207209</v>
      </c>
      <c r="Q57" s="94">
        <f t="shared" si="47"/>
        <v>0.09522207209</v>
      </c>
      <c r="R57" s="94">
        <f t="shared" si="47"/>
        <v>0.09522207209</v>
      </c>
      <c r="S57" s="94">
        <f t="shared" si="47"/>
        <v>0.09522207209</v>
      </c>
      <c r="T57" s="94">
        <f t="shared" si="47"/>
        <v>0.09522207209</v>
      </c>
      <c r="U57" s="94"/>
      <c r="V57" s="94"/>
      <c r="W57" s="65"/>
      <c r="X57" s="19"/>
      <c r="Y57" s="19"/>
      <c r="Z57" s="19"/>
      <c r="AA57" s="19"/>
      <c r="AB57" s="19"/>
    </row>
    <row r="58">
      <c r="A58" s="35" t="s">
        <v>44</v>
      </c>
      <c r="B58" s="43">
        <v>11994.0</v>
      </c>
      <c r="C58" s="57">
        <v>11994.0</v>
      </c>
      <c r="D58" s="57">
        <v>13361.0</v>
      </c>
      <c r="E58" s="57">
        <v>15180.0</v>
      </c>
      <c r="F58" s="57">
        <v>16705.0</v>
      </c>
      <c r="G58" s="57">
        <v>19005.0</v>
      </c>
      <c r="H58" s="58">
        <v>22495.0</v>
      </c>
      <c r="I58" s="58">
        <v>24643.0</v>
      </c>
      <c r="J58" s="58">
        <v>27715.0</v>
      </c>
      <c r="K58" s="43">
        <v>31958.0</v>
      </c>
      <c r="L58" s="43">
        <v>34337.0</v>
      </c>
      <c r="M58" s="35">
        <v>38032.0</v>
      </c>
      <c r="N58" s="92">
        <f>N59*FS_Forecast!N7</f>
        <v>37145.91185</v>
      </c>
      <c r="O58" s="92">
        <f>O59*FS_Forecast!O7</f>
        <v>37124.79874</v>
      </c>
      <c r="P58" s="92">
        <f>P59*FS_Forecast!P7</f>
        <v>37941.04002</v>
      </c>
      <c r="Q58" s="92">
        <f>Q59*FS_Forecast!Q7</f>
        <v>39086.34406</v>
      </c>
      <c r="R58" s="92">
        <f>R59*FS_Forecast!R7</f>
        <v>40586.72874</v>
      </c>
      <c r="S58" s="92">
        <f>S59*FS_Forecast!S7</f>
        <v>42477.51898</v>
      </c>
      <c r="T58" s="92">
        <f>T59*FS_Forecast!T7</f>
        <v>44813.78253</v>
      </c>
      <c r="U58" s="93"/>
      <c r="V58" s="93"/>
      <c r="W58" s="65"/>
      <c r="X58" s="19"/>
      <c r="Y58" s="19"/>
      <c r="Z58" s="19"/>
      <c r="AA58" s="19"/>
      <c r="AB58" s="19"/>
    </row>
    <row r="59">
      <c r="A59" s="29" t="s">
        <v>45</v>
      </c>
      <c r="B59" s="40">
        <f t="shared" ref="B59:L59" si="48">B58/B7</f>
        <v>0.1010259261</v>
      </c>
      <c r="C59" s="40">
        <f t="shared" si="48"/>
        <v>0.08211244078</v>
      </c>
      <c r="D59" s="40">
        <f t="shared" si="48"/>
        <v>0.07772090047</v>
      </c>
      <c r="E59" s="40">
        <f t="shared" si="48"/>
        <v>0.08163484808</v>
      </c>
      <c r="F59" s="40">
        <f t="shared" si="48"/>
        <v>0.07996534277</v>
      </c>
      <c r="G59" s="40">
        <f t="shared" si="48"/>
        <v>0.08542724862</v>
      </c>
      <c r="H59" s="40">
        <f t="shared" si="48"/>
        <v>0.09583106128</v>
      </c>
      <c r="I59" s="40">
        <f t="shared" si="48"/>
        <v>0.09459013373</v>
      </c>
      <c r="J59" s="40">
        <f t="shared" si="48"/>
        <v>0.09371819279</v>
      </c>
      <c r="K59" s="40">
        <f t="shared" si="48"/>
        <v>0.09419802867</v>
      </c>
      <c r="L59" s="40">
        <f t="shared" si="48"/>
        <v>0.09330934724</v>
      </c>
      <c r="M59" s="68">
        <f>M58/FS_Forecast!M7</f>
        <v>0.08964694679</v>
      </c>
      <c r="N59" s="95">
        <f>IFERROR(__xludf.DUMMYFUNCTION("AVERAGE.WEIGHTED(B59:L59,B1:L1)"),0.09055649162470865)</f>
        <v>0.09055649162</v>
      </c>
      <c r="O59" s="95">
        <f t="shared" ref="O59:T59" si="49">N59</f>
        <v>0.09055649162</v>
      </c>
      <c r="P59" s="95">
        <f t="shared" si="49"/>
        <v>0.09055649162</v>
      </c>
      <c r="Q59" s="95">
        <f t="shared" si="49"/>
        <v>0.09055649162</v>
      </c>
      <c r="R59" s="95">
        <f t="shared" si="49"/>
        <v>0.09055649162</v>
      </c>
      <c r="S59" s="95">
        <f t="shared" si="49"/>
        <v>0.09055649162</v>
      </c>
      <c r="T59" s="95">
        <f t="shared" si="49"/>
        <v>0.09055649162</v>
      </c>
      <c r="U59" s="95"/>
      <c r="V59" s="95"/>
      <c r="W59" s="65"/>
      <c r="X59" s="65"/>
      <c r="Y59" s="19"/>
      <c r="Z59" s="19"/>
      <c r="AA59" s="19"/>
      <c r="AB59" s="19"/>
    </row>
    <row r="60">
      <c r="A60" s="35" t="s">
        <v>46</v>
      </c>
      <c r="B60" s="36">
        <v>6634.0</v>
      </c>
      <c r="C60" s="58">
        <v>6634.0</v>
      </c>
      <c r="D60" s="58">
        <v>7193.0</v>
      </c>
      <c r="E60" s="58">
        <v>2857.0</v>
      </c>
      <c r="F60" s="58">
        <v>1973.0</v>
      </c>
      <c r="G60" s="58">
        <v>3870.0</v>
      </c>
      <c r="H60" s="58">
        <v>4819.0</v>
      </c>
      <c r="I60" s="58">
        <v>3620.0</v>
      </c>
      <c r="J60" s="58">
        <v>3110.0</v>
      </c>
      <c r="K60" s="36">
        <v>4274.0</v>
      </c>
      <c r="L60" s="36">
        <v>4545.0</v>
      </c>
      <c r="M60" s="36">
        <v>6069.0</v>
      </c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19"/>
      <c r="Y60" s="19"/>
      <c r="Z60" s="19"/>
      <c r="AA60" s="19"/>
      <c r="AB60" s="19"/>
    </row>
    <row r="61">
      <c r="A61" s="35" t="s">
        <v>47</v>
      </c>
      <c r="B61" s="36">
        <v>2142.0</v>
      </c>
      <c r="C61" s="58">
        <v>2142.0</v>
      </c>
      <c r="D61" s="58">
        <v>1968.0</v>
      </c>
      <c r="E61" s="58">
        <v>2269.0</v>
      </c>
      <c r="F61" s="58">
        <v>2396.0</v>
      </c>
      <c r="G61" s="58">
        <v>2622.0</v>
      </c>
      <c r="H61" s="58">
        <v>2842.0</v>
      </c>
      <c r="I61" s="58">
        <v>2571.0</v>
      </c>
      <c r="J61" s="58">
        <v>3075.0</v>
      </c>
      <c r="K61" s="36">
        <v>3355.0</v>
      </c>
      <c r="L61" s="36">
        <v>3317.0</v>
      </c>
      <c r="M61" s="36">
        <v>3413.0</v>
      </c>
      <c r="N61" s="92">
        <f>N62*FS_Forecast!N4</f>
        <v>3512</v>
      </c>
      <c r="O61" s="92">
        <f>O62*FS_Forecast!O4</f>
        <v>3560.417895</v>
      </c>
      <c r="P61" s="92">
        <f>P62*FS_Forecast!P4</f>
        <v>3638.698725</v>
      </c>
      <c r="Q61" s="92">
        <f>Q62*FS_Forecast!Q4</f>
        <v>3748.538</v>
      </c>
      <c r="R61" s="92">
        <f>R62*FS_Forecast!R4</f>
        <v>3892.430941</v>
      </c>
      <c r="S61" s="92">
        <f>S62*FS_Forecast!S4</f>
        <v>4073.76535</v>
      </c>
      <c r="T61" s="92">
        <f>T62*FS_Forecast!T4</f>
        <v>4297.822444</v>
      </c>
      <c r="U61" s="93"/>
      <c r="V61" s="93"/>
      <c r="W61" s="65"/>
      <c r="X61" s="19"/>
      <c r="Y61" s="19"/>
      <c r="Z61" s="19"/>
      <c r="AA61" s="19"/>
      <c r="AB61" s="19"/>
    </row>
    <row r="62">
      <c r="A62" s="29" t="s">
        <v>48</v>
      </c>
      <c r="B62" s="96">
        <f t="shared" ref="B62:L62" si="50">B61/B4</f>
        <v>0.01641706394</v>
      </c>
      <c r="C62" s="96">
        <f t="shared" si="50"/>
        <v>0.01363402013</v>
      </c>
      <c r="D62" s="96">
        <f t="shared" si="50"/>
        <v>0.01064704609</v>
      </c>
      <c r="E62" s="96">
        <f t="shared" si="50"/>
        <v>0.01127963452</v>
      </c>
      <c r="F62" s="96">
        <f t="shared" si="50"/>
        <v>0.01059019567</v>
      </c>
      <c r="G62" s="96">
        <f t="shared" si="50"/>
        <v>0.0108277756</v>
      </c>
      <c r="H62" s="96">
        <f t="shared" si="50"/>
        <v>0.01105230204</v>
      </c>
      <c r="I62" s="96">
        <f t="shared" si="50"/>
        <v>0.008939592555</v>
      </c>
      <c r="J62" s="96">
        <f t="shared" si="50"/>
        <v>0.009485997742</v>
      </c>
      <c r="K62" s="96">
        <f t="shared" si="50"/>
        <v>0.009027990808</v>
      </c>
      <c r="L62" s="96">
        <f t="shared" si="50"/>
        <v>0.008286740715</v>
      </c>
      <c r="M62" s="96">
        <v>0.008</v>
      </c>
      <c r="N62" s="94">
        <v>0.008</v>
      </c>
      <c r="O62" s="94">
        <v>0.008</v>
      </c>
      <c r="P62" s="94">
        <v>0.008</v>
      </c>
      <c r="Q62" s="94">
        <v>0.008</v>
      </c>
      <c r="R62" s="94">
        <v>0.008</v>
      </c>
      <c r="S62" s="94">
        <v>0.008</v>
      </c>
      <c r="T62" s="94">
        <v>0.008</v>
      </c>
      <c r="U62" s="94"/>
      <c r="V62" s="94"/>
      <c r="W62" s="65"/>
      <c r="X62" s="19"/>
      <c r="Y62" s="19"/>
      <c r="Z62" s="19"/>
      <c r="AA62" s="19"/>
      <c r="AB62" s="19"/>
    </row>
    <row r="63">
      <c r="A63" s="35" t="s">
        <v>49</v>
      </c>
      <c r="B63" s="58">
        <v>5965.0</v>
      </c>
      <c r="C63" s="58">
        <v>7798.0</v>
      </c>
      <c r="D63" s="58">
        <v>10339.0</v>
      </c>
      <c r="E63" s="58">
        <v>12286.0</v>
      </c>
      <c r="F63" s="58">
        <v>12244.0</v>
      </c>
      <c r="G63" s="58">
        <v>14595.0</v>
      </c>
      <c r="H63" s="58">
        <v>20392.0</v>
      </c>
      <c r="I63" s="58">
        <v>22975.0</v>
      </c>
      <c r="J63" s="58">
        <v>26281.0</v>
      </c>
      <c r="K63" s="36">
        <v>27072.0</v>
      </c>
      <c r="L63" s="36">
        <v>27346.0</v>
      </c>
      <c r="M63" s="36">
        <v>28046.0</v>
      </c>
      <c r="N63" s="92">
        <f>N64*FS_Forecast!N4</f>
        <v>30083.42525</v>
      </c>
      <c r="O63" s="92">
        <f>O64*FS_Forecast!O4</f>
        <v>30498.16787</v>
      </c>
      <c r="P63" s="92">
        <f>P64*FS_Forecast!P4</f>
        <v>31168.71329</v>
      </c>
      <c r="Q63" s="92">
        <f>Q64*FS_Forecast!Q4</f>
        <v>32109.58505</v>
      </c>
      <c r="R63" s="92">
        <f>R64*FS_Forecast!R4</f>
        <v>33342.15696</v>
      </c>
      <c r="S63" s="92">
        <f>S64*FS_Forecast!S4</f>
        <v>34895.44857</v>
      </c>
      <c r="T63" s="92">
        <f>T64*FS_Forecast!T4</f>
        <v>36814.69824</v>
      </c>
      <c r="U63" s="93"/>
      <c r="V63" s="93"/>
      <c r="W63" s="65"/>
      <c r="X63" s="19"/>
      <c r="Y63" s="19"/>
      <c r="Z63" s="19"/>
      <c r="AA63" s="19"/>
      <c r="AB63" s="19"/>
    </row>
    <row r="64">
      <c r="A64" s="29" t="s">
        <v>50</v>
      </c>
      <c r="B64" s="97">
        <f t="shared" ref="B64:L64" si="51">B63/B4</f>
        <v>0.04571792081</v>
      </c>
      <c r="C64" s="97">
        <f t="shared" si="51"/>
        <v>0.04963496216</v>
      </c>
      <c r="D64" s="97">
        <f t="shared" si="51"/>
        <v>0.05593486258</v>
      </c>
      <c r="E64" s="97">
        <f t="shared" si="51"/>
        <v>0.06107606421</v>
      </c>
      <c r="F64" s="97">
        <f t="shared" si="51"/>
        <v>0.05411784466</v>
      </c>
      <c r="G64" s="97">
        <f t="shared" si="51"/>
        <v>0.06027131383</v>
      </c>
      <c r="H64" s="97">
        <f t="shared" si="51"/>
        <v>0.07930279496</v>
      </c>
      <c r="I64" s="97">
        <f t="shared" si="51"/>
        <v>0.07988609061</v>
      </c>
      <c r="J64" s="97">
        <f t="shared" si="51"/>
        <v>0.0810736607</v>
      </c>
      <c r="K64" s="97">
        <f t="shared" si="51"/>
        <v>0.07284821674</v>
      </c>
      <c r="L64" s="97">
        <f t="shared" si="51"/>
        <v>0.06831751932</v>
      </c>
      <c r="M64" s="96">
        <f>M63/FS_Forecast!M4</f>
        <v>0.06266324372</v>
      </c>
      <c r="N64" s="94">
        <f>IFERROR(__xludf.DUMMYFUNCTION("AVERAGE.WEIGHTED(B64:M64,B1:M1)"),0.06852716456901024)</f>
        <v>0.06852716457</v>
      </c>
      <c r="O64" s="94">
        <f t="shared" ref="O64:T64" si="52">N64</f>
        <v>0.06852716457</v>
      </c>
      <c r="P64" s="94">
        <f t="shared" si="52"/>
        <v>0.06852716457</v>
      </c>
      <c r="Q64" s="94">
        <f t="shared" si="52"/>
        <v>0.06852716457</v>
      </c>
      <c r="R64" s="94">
        <f t="shared" si="52"/>
        <v>0.06852716457</v>
      </c>
      <c r="S64" s="94">
        <f t="shared" si="52"/>
        <v>0.06852716457</v>
      </c>
      <c r="T64" s="94">
        <f t="shared" si="52"/>
        <v>0.06852716457</v>
      </c>
      <c r="U64" s="93"/>
      <c r="V64" s="93"/>
      <c r="W64" s="65"/>
      <c r="X64" s="19"/>
      <c r="Y64" s="19"/>
      <c r="Z64" s="19"/>
      <c r="AA64" s="19"/>
      <c r="AB64" s="19"/>
    </row>
    <row r="65">
      <c r="A65" s="74" t="s">
        <v>51</v>
      </c>
      <c r="B65" s="76">
        <v>16007.0</v>
      </c>
      <c r="C65" s="76">
        <v>25460.0</v>
      </c>
      <c r="D65" s="76">
        <v>49252.0</v>
      </c>
      <c r="E65" s="76">
        <v>50463.0</v>
      </c>
      <c r="F65" s="76">
        <v>53209.0</v>
      </c>
      <c r="G65" s="76">
        <v>61782.0</v>
      </c>
      <c r="H65" s="76">
        <v>72420.0</v>
      </c>
      <c r="I65" s="76">
        <v>78292.0</v>
      </c>
      <c r="J65" s="76">
        <v>89237.0</v>
      </c>
      <c r="K65" s="98">
        <v>99054.0</v>
      </c>
      <c r="L65" s="98">
        <v>103769.0</v>
      </c>
      <c r="M65" s="98">
        <f t="shared" ref="M65:T65" si="53">SUM(M56,M58,M61,M63)</f>
        <v>108828</v>
      </c>
      <c r="N65" s="99">
        <f t="shared" si="53"/>
        <v>109801.0514</v>
      </c>
      <c r="O65" s="99">
        <f t="shared" si="53"/>
        <v>110220.898</v>
      </c>
      <c r="P65" s="99">
        <f t="shared" si="53"/>
        <v>112644.2605</v>
      </c>
      <c r="Q65" s="99">
        <f t="shared" si="53"/>
        <v>116044.5871</v>
      </c>
      <c r="R65" s="99">
        <f t="shared" si="53"/>
        <v>120499.1229</v>
      </c>
      <c r="S65" s="99">
        <f t="shared" si="53"/>
        <v>126112.7453</v>
      </c>
      <c r="T65" s="99">
        <f t="shared" si="53"/>
        <v>133048.9463</v>
      </c>
      <c r="U65" s="100"/>
      <c r="V65" s="100"/>
      <c r="W65" s="9"/>
      <c r="X65" s="19"/>
      <c r="Y65" s="19"/>
      <c r="Z65" s="19"/>
      <c r="AA65" s="19"/>
      <c r="AB65" s="19"/>
    </row>
    <row r="66">
      <c r="A66" s="35" t="s">
        <v>52</v>
      </c>
      <c r="B66" s="58">
        <v>2488.0</v>
      </c>
      <c r="C66" s="58">
        <v>2496.0</v>
      </c>
      <c r="D66" s="58">
        <v>25777.0</v>
      </c>
      <c r="E66" s="58">
        <v>28835.0</v>
      </c>
      <c r="F66" s="58">
        <v>34581.0</v>
      </c>
      <c r="G66" s="58">
        <v>36808.0</v>
      </c>
      <c r="H66" s="58">
        <v>38648.0</v>
      </c>
      <c r="I66" s="58">
        <v>42383.0</v>
      </c>
      <c r="J66" s="58">
        <v>54513.0</v>
      </c>
      <c r="K66" s="36">
        <v>58263.0</v>
      </c>
      <c r="L66" s="36">
        <v>72359.0</v>
      </c>
      <c r="M66" s="36">
        <v>72320.0</v>
      </c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19"/>
      <c r="Y66" s="19"/>
      <c r="Z66" s="19"/>
      <c r="AA66" s="19"/>
      <c r="AB66" s="19"/>
    </row>
    <row r="67">
      <c r="A67" s="35" t="s">
        <v>53</v>
      </c>
      <c r="B67" s="58">
        <v>2065.0</v>
      </c>
      <c r="C67" s="58">
        <v>3587.0</v>
      </c>
      <c r="D67" s="58">
        <v>2761.0</v>
      </c>
      <c r="E67" s="58">
        <v>2182.0</v>
      </c>
      <c r="F67" s="58">
        <v>2474.0</v>
      </c>
      <c r="G67" s="58">
        <v>2993.0</v>
      </c>
      <c r="H67" s="58">
        <v>3367.0</v>
      </c>
      <c r="I67" s="58">
        <v>3265.0</v>
      </c>
      <c r="J67" s="58">
        <v>2769.0</v>
      </c>
      <c r="K67" s="36">
        <v>3021.0</v>
      </c>
      <c r="L67" s="36">
        <v>3620.0</v>
      </c>
      <c r="M67" s="36">
        <f>M68*FS_Forecast!M4</f>
        <v>4873.428239</v>
      </c>
      <c r="N67" s="92">
        <f>N68*FS_Forecast!N4</f>
        <v>4780.144642</v>
      </c>
      <c r="O67" s="92">
        <f>O68*FS_Forecast!O4</f>
        <v>4846.045707</v>
      </c>
      <c r="P67" s="92">
        <f>P68*FS_Forecast!P4</f>
        <v>4952.592886</v>
      </c>
      <c r="Q67" s="92">
        <f>Q68*FS_Forecast!Q4</f>
        <v>5102.093917</v>
      </c>
      <c r="R67" s="92">
        <f>R68*FS_Forecast!R4</f>
        <v>5297.945019</v>
      </c>
      <c r="S67" s="92">
        <f>S68*FS_Forecast!S4</f>
        <v>5544.757292</v>
      </c>
      <c r="T67" s="92">
        <f>T68*FS_Forecast!T4</f>
        <v>5849.718943</v>
      </c>
      <c r="U67" s="93"/>
      <c r="V67" s="93"/>
      <c r="W67" s="65"/>
      <c r="X67" s="19"/>
      <c r="Y67" s="19"/>
      <c r="Z67" s="19"/>
      <c r="AA67" s="19"/>
      <c r="AB67" s="19"/>
    </row>
    <row r="68">
      <c r="A68" s="29" t="s">
        <v>54</v>
      </c>
      <c r="B68" s="97">
        <f t="shared" ref="B68:L68" si="54">B67/B4</f>
        <v>0.01582690804</v>
      </c>
      <c r="C68" s="97">
        <f t="shared" si="54"/>
        <v>0.02283157339</v>
      </c>
      <c r="D68" s="97">
        <f t="shared" si="54"/>
        <v>0.01493724302</v>
      </c>
      <c r="E68" s="97">
        <f t="shared" si="54"/>
        <v>0.01084714082</v>
      </c>
      <c r="F68" s="97">
        <f t="shared" si="54"/>
        <v>0.01093495162</v>
      </c>
      <c r="G68" s="97">
        <f t="shared" si="54"/>
        <v>0.01235985216</v>
      </c>
      <c r="H68" s="97">
        <f t="shared" si="54"/>
        <v>0.01309398346</v>
      </c>
      <c r="I68" s="97">
        <f t="shared" si="54"/>
        <v>0.01135269144</v>
      </c>
      <c r="J68" s="97">
        <f t="shared" si="54"/>
        <v>0.008542025284</v>
      </c>
      <c r="K68" s="97">
        <f t="shared" si="54"/>
        <v>0.008129228087</v>
      </c>
      <c r="L68" s="97">
        <f t="shared" si="54"/>
        <v>0.009043714618</v>
      </c>
      <c r="M68" s="96">
        <f>IFERROR(__xludf.DUMMYFUNCTION("AVERAGE.WEIGHTED(B68:L68,B1:L1)"),0.010888712169274183)</f>
        <v>0.01088871217</v>
      </c>
      <c r="N68" s="101">
        <f t="shared" ref="N68:T68" si="55">M68</f>
        <v>0.01088871217</v>
      </c>
      <c r="O68" s="101">
        <f t="shared" si="55"/>
        <v>0.01088871217</v>
      </c>
      <c r="P68" s="101">
        <f t="shared" si="55"/>
        <v>0.01088871217</v>
      </c>
      <c r="Q68" s="101">
        <f t="shared" si="55"/>
        <v>0.01088871217</v>
      </c>
      <c r="R68" s="101">
        <f t="shared" si="55"/>
        <v>0.01088871217</v>
      </c>
      <c r="S68" s="101">
        <f t="shared" si="55"/>
        <v>0.01088871217</v>
      </c>
      <c r="T68" s="101">
        <f t="shared" si="55"/>
        <v>0.01088871217</v>
      </c>
      <c r="U68" s="101"/>
      <c r="V68" s="101"/>
      <c r="W68" s="65"/>
      <c r="X68" s="19"/>
      <c r="Y68" s="19"/>
      <c r="Z68" s="19"/>
      <c r="AA68" s="19"/>
      <c r="AB68" s="19"/>
    </row>
    <row r="69">
      <c r="A69" s="35" t="s">
        <v>55</v>
      </c>
      <c r="B69" s="58">
        <v>1357.0</v>
      </c>
      <c r="C69" s="58">
        <v>1481.0</v>
      </c>
      <c r="D69" s="58">
        <v>4831.0</v>
      </c>
      <c r="E69" s="58">
        <v>5556.0</v>
      </c>
      <c r="F69" s="58">
        <v>5730.0</v>
      </c>
      <c r="G69" s="58">
        <v>10144.0</v>
      </c>
      <c r="H69" s="58">
        <v>12315.0</v>
      </c>
      <c r="I69" s="58">
        <v>11787.0</v>
      </c>
      <c r="J69" s="58">
        <v>12839.0</v>
      </c>
      <c r="K69" s="36">
        <v>14463.0</v>
      </c>
      <c r="L69" s="36">
        <v>15939.0</v>
      </c>
      <c r="M69" s="36">
        <v>18245.0</v>
      </c>
      <c r="N69" s="102">
        <f>N70*FS_Forecast!N4</f>
        <v>16502.34177</v>
      </c>
      <c r="O69" s="102">
        <f>O70*FS_Forecast!O4</f>
        <v>16729.84992</v>
      </c>
      <c r="P69" s="102">
        <f>P70*FS_Forecast!P4</f>
        <v>17097.67937</v>
      </c>
      <c r="Q69" s="102">
        <f>Q70*FS_Forecast!Q4</f>
        <v>17613.79704</v>
      </c>
      <c r="R69" s="102">
        <f>R70*FS_Forecast!R4</f>
        <v>18289.92759</v>
      </c>
      <c r="S69" s="102">
        <f>S70*FS_Forecast!S4</f>
        <v>19141.98977</v>
      </c>
      <c r="T69" s="102">
        <f>T70*FS_Forecast!T4</f>
        <v>20194.79921</v>
      </c>
      <c r="U69" s="65"/>
      <c r="V69" s="65"/>
      <c r="W69" s="65"/>
      <c r="X69" s="19"/>
      <c r="Y69" s="19"/>
      <c r="Z69" s="19"/>
      <c r="AA69" s="19"/>
      <c r="AB69" s="19"/>
    </row>
    <row r="70">
      <c r="A70" s="29" t="s">
        <v>56</v>
      </c>
      <c r="B70" s="97">
        <f t="shared" ref="B70:M70" si="56">B69/B4</f>
        <v>0.01040053957</v>
      </c>
      <c r="C70" s="97">
        <f t="shared" si="56"/>
        <v>0.009426696455</v>
      </c>
      <c r="D70" s="97">
        <f t="shared" si="56"/>
        <v>0.02613611772</v>
      </c>
      <c r="E70" s="97">
        <f t="shared" si="56"/>
        <v>0.02761994243</v>
      </c>
      <c r="F70" s="97">
        <f t="shared" si="56"/>
        <v>0.02532630267</v>
      </c>
      <c r="G70" s="97">
        <f t="shared" si="56"/>
        <v>0.04189052466</v>
      </c>
      <c r="H70" s="97">
        <f t="shared" si="56"/>
        <v>0.04789201255</v>
      </c>
      <c r="I70" s="97">
        <f t="shared" si="56"/>
        <v>0.04098443308</v>
      </c>
      <c r="J70" s="97">
        <f t="shared" si="56"/>
        <v>0.03960673984</v>
      </c>
      <c r="K70" s="97">
        <f t="shared" si="56"/>
        <v>0.03891857856</v>
      </c>
      <c r="L70" s="97">
        <f t="shared" si="56"/>
        <v>0.03981982522</v>
      </c>
      <c r="M70" s="97">
        <f t="shared" si="56"/>
        <v>0.04076484638</v>
      </c>
      <c r="N70" s="101">
        <f>IFERROR(__xludf.DUMMYFUNCTION("AVERAGE.WEIGHTED(B70:M70,B1:M1)"),0.03759075573505806)</f>
        <v>0.03759075574</v>
      </c>
      <c r="O70" s="101">
        <f t="shared" ref="O70:T70" si="57">N70</f>
        <v>0.03759075574</v>
      </c>
      <c r="P70" s="101">
        <f t="shared" si="57"/>
        <v>0.03759075574</v>
      </c>
      <c r="Q70" s="101">
        <f t="shared" si="57"/>
        <v>0.03759075574</v>
      </c>
      <c r="R70" s="101">
        <f t="shared" si="57"/>
        <v>0.03759075574</v>
      </c>
      <c r="S70" s="101">
        <f t="shared" si="57"/>
        <v>0.03759075574</v>
      </c>
      <c r="T70" s="101">
        <f t="shared" si="57"/>
        <v>0.03759075574</v>
      </c>
      <c r="U70" s="65"/>
      <c r="V70" s="65"/>
      <c r="W70" s="65"/>
      <c r="X70" s="19"/>
      <c r="Y70" s="19"/>
      <c r="Z70" s="19"/>
      <c r="AA70" s="19"/>
      <c r="AB70" s="19"/>
    </row>
    <row r="71">
      <c r="A71" s="82" t="s">
        <v>57</v>
      </c>
      <c r="B71" s="84">
        <v>52540.0</v>
      </c>
      <c r="C71" s="84">
        <v>75922.0</v>
      </c>
      <c r="D71" s="84">
        <v>82621.0</v>
      </c>
      <c r="E71" s="84">
        <v>87036.0</v>
      </c>
      <c r="F71" s="84">
        <v>95994.0</v>
      </c>
      <c r="G71" s="84">
        <v>111727.0</v>
      </c>
      <c r="H71" s="84">
        <v>126750.0</v>
      </c>
      <c r="I71" s="84">
        <v>135727.0</v>
      </c>
      <c r="J71" s="84">
        <v>159358.0</v>
      </c>
      <c r="K71" s="103">
        <v>174801.0</v>
      </c>
      <c r="L71" s="103">
        <v>195687.0</v>
      </c>
      <c r="M71" s="84">
        <v>207883.0</v>
      </c>
      <c r="N71" s="78">
        <f t="shared" ref="N71:T71" si="58">SUM(N66,N67,N69)</f>
        <v>21282.48641</v>
      </c>
      <c r="O71" s="78">
        <f t="shared" si="58"/>
        <v>21575.89563</v>
      </c>
      <c r="P71" s="78">
        <f t="shared" si="58"/>
        <v>22050.27226</v>
      </c>
      <c r="Q71" s="78">
        <f t="shared" si="58"/>
        <v>22715.89096</v>
      </c>
      <c r="R71" s="78">
        <f t="shared" si="58"/>
        <v>23587.87261</v>
      </c>
      <c r="S71" s="78">
        <f t="shared" si="58"/>
        <v>24686.74706</v>
      </c>
      <c r="T71" s="78">
        <f t="shared" si="58"/>
        <v>26044.51815</v>
      </c>
      <c r="U71" s="78"/>
      <c r="V71" s="78"/>
      <c r="W71" s="65"/>
      <c r="X71" s="19"/>
      <c r="Y71" s="19"/>
      <c r="Z71" s="19"/>
      <c r="AA71" s="19"/>
      <c r="AB71" s="19"/>
    </row>
    <row r="72">
      <c r="A72" s="104"/>
      <c r="B72" s="89"/>
      <c r="C72" s="89"/>
      <c r="D72" s="89"/>
      <c r="E72" s="89"/>
      <c r="F72" s="89"/>
      <c r="G72" s="89"/>
      <c r="H72" s="89"/>
      <c r="I72" s="89"/>
      <c r="J72" s="58"/>
      <c r="K72" s="36"/>
      <c r="L72" s="105"/>
      <c r="M72" s="36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19"/>
      <c r="Y72" s="19"/>
      <c r="Z72" s="19"/>
      <c r="AA72" s="19"/>
      <c r="AB72" s="19"/>
    </row>
    <row r="73">
      <c r="A73" s="35" t="s">
        <v>58</v>
      </c>
      <c r="B73" s="58">
        <v>1388.0</v>
      </c>
      <c r="C73" s="58">
        <v>1736.0</v>
      </c>
      <c r="D73" s="58">
        <v>2012.0</v>
      </c>
      <c r="E73" s="58">
        <v>2189.0</v>
      </c>
      <c r="F73" s="58">
        <v>1908.0</v>
      </c>
      <c r="G73" s="58">
        <v>1726.0</v>
      </c>
      <c r="H73" s="58">
        <v>2211.0</v>
      </c>
      <c r="I73" s="58">
        <v>1434.0</v>
      </c>
      <c r="J73" s="58">
        <v>4897.0</v>
      </c>
      <c r="K73" s="105">
        <v>4498.0</v>
      </c>
      <c r="L73" s="36">
        <v>4323.0</v>
      </c>
      <c r="M73" s="36">
        <v>1608.0</v>
      </c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19"/>
      <c r="Y73" s="19"/>
      <c r="Z73" s="19"/>
      <c r="AA73" s="19"/>
      <c r="AB73" s="19"/>
    </row>
    <row r="74">
      <c r="A74" s="9" t="s">
        <v>59</v>
      </c>
      <c r="B74" s="89"/>
      <c r="C74" s="89"/>
      <c r="D74" s="89"/>
      <c r="E74" s="89"/>
      <c r="F74" s="89"/>
      <c r="G74" s="89"/>
      <c r="H74" s="89"/>
      <c r="I74" s="89"/>
      <c r="J74" s="58"/>
      <c r="K74" s="105"/>
      <c r="L74" s="105"/>
      <c r="M74" s="36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19"/>
      <c r="Y74" s="19"/>
      <c r="Z74" s="19"/>
      <c r="AA74" s="19"/>
      <c r="AB74" s="19"/>
    </row>
    <row r="75">
      <c r="A75" s="35" t="s">
        <v>60</v>
      </c>
      <c r="B75" s="89">
        <v>10.0</v>
      </c>
      <c r="C75" s="89">
        <v>10.0</v>
      </c>
      <c r="D75" s="89">
        <v>10.0</v>
      </c>
      <c r="E75" s="89">
        <v>10.0</v>
      </c>
      <c r="F75" s="89">
        <v>10.0</v>
      </c>
      <c r="G75" s="89">
        <v>9.0</v>
      </c>
      <c r="H75" s="89">
        <v>10.0</v>
      </c>
      <c r="I75" s="89">
        <v>10.0</v>
      </c>
      <c r="J75" s="89">
        <v>9.0</v>
      </c>
      <c r="K75" s="105">
        <v>9.0</v>
      </c>
      <c r="L75" s="105">
        <v>9.0</v>
      </c>
      <c r="M75" s="105">
        <v>9.0</v>
      </c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19"/>
      <c r="Y75" s="19"/>
      <c r="Z75" s="19"/>
      <c r="AA75" s="19"/>
      <c r="AB75" s="19"/>
    </row>
    <row r="76">
      <c r="A76" s="35" t="s">
        <v>61</v>
      </c>
      <c r="B76" s="89"/>
      <c r="C76" s="89">
        <v>29.0</v>
      </c>
      <c r="D76" s="89"/>
      <c r="E76" s="89">
        <v>1703.0</v>
      </c>
      <c r="F76" s="89"/>
      <c r="G76" s="89"/>
      <c r="H76" s="89"/>
      <c r="I76" s="89"/>
      <c r="J76" s="89"/>
      <c r="K76" s="105"/>
      <c r="L76" s="105"/>
      <c r="M76" s="36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19"/>
      <c r="Y76" s="19"/>
      <c r="Z76" s="19"/>
      <c r="AA76" s="19"/>
      <c r="AB76" s="19"/>
    </row>
    <row r="77">
      <c r="A77" s="35" t="s">
        <v>62</v>
      </c>
      <c r="B77" s="89">
        <v>33836.0</v>
      </c>
      <c r="C77" s="89">
        <v>37125.0</v>
      </c>
      <c r="D77" s="89">
        <v>40945.0</v>
      </c>
      <c r="E77" s="89">
        <v>48730.0</v>
      </c>
      <c r="F77" s="89">
        <v>55846.0</v>
      </c>
      <c r="G77" s="89">
        <v>61178.0</v>
      </c>
      <c r="H77" s="89">
        <v>69295.0</v>
      </c>
      <c r="I77" s="89">
        <v>77134.0</v>
      </c>
      <c r="J77" s="89">
        <v>86156.0</v>
      </c>
      <c r="K77" s="105">
        <v>95774.0</v>
      </c>
      <c r="L77" s="105">
        <v>96036.0</v>
      </c>
      <c r="M77" s="36">
        <v>96036.0</v>
      </c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19"/>
      <c r="Y77" s="19"/>
      <c r="Z77" s="19"/>
      <c r="AA77" s="19"/>
      <c r="AB77" s="19"/>
    </row>
    <row r="78">
      <c r="A78" s="35" t="s">
        <v>63</v>
      </c>
      <c r="B78" s="89">
        <v>-1392.0</v>
      </c>
      <c r="C78" s="89">
        <v>-3334.0</v>
      </c>
      <c r="D78" s="89">
        <v>-2681.0</v>
      </c>
      <c r="E78" s="89">
        <v>-2667.0</v>
      </c>
      <c r="F78" s="89">
        <v>-4160.0</v>
      </c>
      <c r="G78" s="89">
        <v>-3578.0</v>
      </c>
      <c r="H78" s="89">
        <v>-3814.0</v>
      </c>
      <c r="I78" s="89">
        <v>-5384.0</v>
      </c>
      <c r="J78" s="89">
        <v>-8393.0</v>
      </c>
      <c r="K78" s="105">
        <v>-7027.0</v>
      </c>
      <c r="L78" s="105">
        <v>-3387.0</v>
      </c>
      <c r="M78" s="36">
        <v>-2061.0</v>
      </c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19"/>
      <c r="Y78" s="19"/>
      <c r="Z78" s="19"/>
      <c r="AA78" s="19"/>
      <c r="AB78" s="19"/>
    </row>
    <row r="79">
      <c r="A79" s="35" t="s">
        <v>64</v>
      </c>
      <c r="B79" s="89"/>
      <c r="C79" s="89">
        <v>-105.0</v>
      </c>
      <c r="D79" s="89">
        <v>-97.0</v>
      </c>
      <c r="E79" s="89">
        <v>2057.0</v>
      </c>
      <c r="F79" s="89">
        <v>2623.0</v>
      </c>
      <c r="G79" s="89">
        <v>2820.0</v>
      </c>
      <c r="H79" s="89">
        <v>2837.0</v>
      </c>
      <c r="I79" s="89">
        <v>3285.0</v>
      </c>
      <c r="J79" s="89">
        <v>3678.0</v>
      </c>
      <c r="K79" s="105">
        <v>5665.0</v>
      </c>
      <c r="L79" s="105">
        <v>5610.0</v>
      </c>
      <c r="M79" s="36">
        <v>5910.0</v>
      </c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19"/>
      <c r="Y79" s="19"/>
      <c r="Z79" s="19"/>
      <c r="AA79" s="19"/>
      <c r="AB79" s="19"/>
    </row>
    <row r="80">
      <c r="A80" s="106" t="s">
        <v>65</v>
      </c>
      <c r="B80" s="107">
        <v>32454.0</v>
      </c>
      <c r="C80" s="107">
        <v>33725.0</v>
      </c>
      <c r="D80" s="107">
        <v>38177.0</v>
      </c>
      <c r="E80" s="107">
        <v>49833.0</v>
      </c>
      <c r="F80" s="107">
        <v>54319.0</v>
      </c>
      <c r="G80" s="107">
        <v>60436.0</v>
      </c>
      <c r="H80" s="107">
        <v>68328.0</v>
      </c>
      <c r="I80" s="107">
        <v>75045.0</v>
      </c>
      <c r="J80" s="108">
        <v>81450.0</v>
      </c>
      <c r="K80" s="109">
        <v>94421.0</v>
      </c>
      <c r="L80" s="109">
        <v>98268.0</v>
      </c>
      <c r="M80" s="110">
        <v>100090.0</v>
      </c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19"/>
      <c r="Y80" s="19"/>
      <c r="Z80" s="19"/>
      <c r="AA80" s="19"/>
      <c r="AB80" s="19"/>
    </row>
    <row r="81">
      <c r="A81" s="74" t="s">
        <v>66</v>
      </c>
      <c r="B81" s="108">
        <v>86382.0</v>
      </c>
      <c r="C81" s="108">
        <v>111383.0</v>
      </c>
      <c r="D81" s="108">
        <v>122810.0</v>
      </c>
      <c r="E81" s="108">
        <v>139058.0</v>
      </c>
      <c r="F81" s="108">
        <v>152221.0</v>
      </c>
      <c r="G81" s="108">
        <v>173889.0</v>
      </c>
      <c r="H81" s="108">
        <v>197289.0</v>
      </c>
      <c r="I81" s="108">
        <v>212206.0</v>
      </c>
      <c r="J81" s="108">
        <v>245705.0</v>
      </c>
      <c r="K81" s="111">
        <v>273720.0</v>
      </c>
      <c r="L81" s="111">
        <v>298278.0</v>
      </c>
      <c r="M81" s="112">
        <v>309581.0</v>
      </c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19"/>
      <c r="Y81" s="19"/>
      <c r="Z81" s="19"/>
      <c r="AA81" s="19"/>
      <c r="AB81" s="19"/>
    </row>
    <row r="82">
      <c r="A82" s="56"/>
      <c r="B82" s="57"/>
      <c r="C82" s="57"/>
      <c r="D82" s="57"/>
      <c r="E82" s="57"/>
      <c r="F82" s="88"/>
      <c r="G82" s="88"/>
      <c r="H82" s="58" t="s">
        <v>67</v>
      </c>
      <c r="I82" s="89"/>
      <c r="J82" s="56"/>
      <c r="K82" s="56"/>
      <c r="L82" s="56"/>
      <c r="M82" s="35"/>
      <c r="N82" s="56"/>
      <c r="O82" s="56"/>
      <c r="P82" s="56"/>
      <c r="Q82" s="56"/>
      <c r="R82" s="56"/>
      <c r="S82" s="56"/>
      <c r="T82" s="56"/>
      <c r="U82" s="56"/>
      <c r="V82" s="56"/>
      <c r="W82" s="65"/>
      <c r="X82" s="19"/>
      <c r="Y82" s="19"/>
      <c r="Z82" s="19"/>
      <c r="AA82" s="19"/>
      <c r="AB82" s="19"/>
    </row>
    <row r="83">
      <c r="A83" s="56"/>
      <c r="B83" s="56"/>
      <c r="C83" s="56"/>
      <c r="D83" s="56"/>
      <c r="E83" s="56"/>
      <c r="F83" s="57"/>
      <c r="G83" s="57"/>
      <c r="H83" s="89"/>
      <c r="I83" s="89"/>
      <c r="J83" s="56"/>
      <c r="K83" s="56"/>
      <c r="L83" s="56"/>
      <c r="M83" s="35"/>
      <c r="N83" s="56"/>
      <c r="O83" s="56"/>
      <c r="P83" s="56"/>
      <c r="Q83" s="56"/>
      <c r="R83" s="56"/>
      <c r="S83" s="56"/>
      <c r="T83" s="56"/>
      <c r="U83" s="56"/>
      <c r="V83" s="56"/>
      <c r="W83" s="65"/>
      <c r="X83" s="19"/>
      <c r="Y83" s="19"/>
      <c r="Z83" s="19"/>
      <c r="AA83" s="19"/>
      <c r="AB83" s="19"/>
    </row>
    <row r="84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</row>
    <row r="8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</row>
    <row r="86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</row>
    <row r="87"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91"/>
    </row>
    <row r="89">
      <c r="J89" s="47"/>
      <c r="K89" s="47"/>
      <c r="L89" s="47"/>
    </row>
    <row r="90">
      <c r="J90" s="113"/>
      <c r="K90" s="113"/>
      <c r="L90" s="48"/>
    </row>
    <row r="91">
      <c r="A91" s="114"/>
      <c r="B91" s="115"/>
      <c r="C91" s="115"/>
      <c r="D91" s="115"/>
      <c r="E91" s="115"/>
      <c r="F91" s="115"/>
      <c r="G91" s="115"/>
      <c r="H91" s="115"/>
      <c r="I91" s="115"/>
      <c r="J91" s="116"/>
      <c r="K91" s="116"/>
      <c r="L91" s="116"/>
      <c r="M91" s="115"/>
      <c r="N91" s="115"/>
      <c r="O91" s="115"/>
      <c r="P91" s="115"/>
      <c r="Q91" s="115"/>
      <c r="R91" s="115"/>
      <c r="S91" s="115"/>
      <c r="T91" s="115"/>
      <c r="U91" s="115"/>
      <c r="V91" s="115"/>
    </row>
    <row r="93">
      <c r="D93" s="117"/>
      <c r="E93" s="117"/>
      <c r="F93" s="117"/>
      <c r="G93" s="117"/>
      <c r="H93" s="117"/>
      <c r="I93" s="117"/>
      <c r="J93" s="117"/>
      <c r="K93" s="117"/>
      <c r="L93" s="117"/>
      <c r="M93" s="117"/>
    </row>
    <row r="299">
      <c r="B299" s="118">
        <v>2016.0</v>
      </c>
      <c r="C299" s="118">
        <v>2017.0</v>
      </c>
      <c r="D299" s="118">
        <v>2018.0</v>
      </c>
      <c r="H299" s="118">
        <v>2014.0</v>
      </c>
      <c r="I299" s="118">
        <v>2015.0</v>
      </c>
    </row>
    <row r="300">
      <c r="A300" s="118" t="s">
        <v>68</v>
      </c>
      <c r="B300" s="87"/>
      <c r="C300" s="87"/>
      <c r="D300" s="87"/>
      <c r="H300" s="87"/>
      <c r="I300" s="87"/>
    </row>
    <row r="301">
      <c r="A301" s="118" t="s">
        <v>69</v>
      </c>
      <c r="B301" s="119">
        <v>144118.0</v>
      </c>
      <c r="C301" s="119">
        <v>158453.0</v>
      </c>
      <c r="D301" s="119">
        <v>178087.0</v>
      </c>
      <c r="H301" s="119">
        <v>115302.0</v>
      </c>
      <c r="I301" s="119">
        <v>127163.0</v>
      </c>
    </row>
    <row r="302">
      <c r="A302" s="118" t="s">
        <v>70</v>
      </c>
      <c r="B302" s="119">
        <v>26658.0</v>
      </c>
      <c r="C302" s="119">
        <v>26366.0</v>
      </c>
      <c r="D302" s="119">
        <v>29601.0</v>
      </c>
      <c r="H302" s="119">
        <v>4242.0</v>
      </c>
      <c r="I302" s="119">
        <v>17312.0</v>
      </c>
    </row>
    <row r="303">
      <c r="A303" s="118" t="s">
        <v>71</v>
      </c>
      <c r="B303" s="119">
        <v>13236.0</v>
      </c>
      <c r="C303" s="119">
        <v>15317.0</v>
      </c>
      <c r="D303" s="119">
        <v>17183.0</v>
      </c>
      <c r="E303" s="120">
        <f t="shared" ref="E303:G303" si="59">SUM(B301:B303)</f>
        <v>184012</v>
      </c>
      <c r="F303" s="120">
        <f t="shared" si="59"/>
        <v>200136</v>
      </c>
      <c r="G303" s="120">
        <f t="shared" si="59"/>
        <v>224871</v>
      </c>
      <c r="H303" s="119">
        <v>10151.0</v>
      </c>
      <c r="I303" s="119">
        <v>11922.0</v>
      </c>
      <c r="J303" s="120">
        <f t="shared" ref="J303:K303" si="60">SUM(H301:H303)</f>
        <v>129695</v>
      </c>
      <c r="K303" s="120">
        <f t="shared" si="60"/>
        <v>156397</v>
      </c>
    </row>
    <row r="304">
      <c r="A304" s="118" t="s">
        <v>72</v>
      </c>
      <c r="B304" s="119">
        <v>828.0</v>
      </c>
      <c r="C304" s="119">
        <v>1023.0</v>
      </c>
      <c r="D304" s="119">
        <v>1376.0</v>
      </c>
      <c r="H304" s="119">
        <v>779.0</v>
      </c>
      <c r="I304" s="119">
        <v>710.0</v>
      </c>
    </row>
    <row r="305">
      <c r="A305" s="118" t="s">
        <v>1</v>
      </c>
      <c r="B305" s="119">
        <v>184840.0</v>
      </c>
      <c r="C305" s="119">
        <v>201159.0</v>
      </c>
      <c r="D305" s="119">
        <v>226247.0</v>
      </c>
      <c r="H305" s="119">
        <v>130474.0</v>
      </c>
      <c r="I305" s="119">
        <v>157107.0</v>
      </c>
    </row>
    <row r="306">
      <c r="A306" s="87"/>
      <c r="B306" s="87"/>
      <c r="C306" s="87"/>
      <c r="D306" s="87"/>
      <c r="H306" s="87"/>
      <c r="I306" s="87"/>
    </row>
    <row r="307">
      <c r="A307" s="118" t="s">
        <v>73</v>
      </c>
      <c r="B307" s="87"/>
      <c r="C307" s="87"/>
      <c r="D307" s="87"/>
      <c r="H307" s="87"/>
      <c r="I307" s="87"/>
    </row>
    <row r="308">
      <c r="A308" s="118" t="s">
        <v>74</v>
      </c>
      <c r="B308" s="119">
        <v>117038.0</v>
      </c>
      <c r="C308" s="119">
        <v>130036.0</v>
      </c>
      <c r="D308" s="119">
        <v>145403.0</v>
      </c>
      <c r="H308" s="119">
        <v>93633.0</v>
      </c>
      <c r="I308" s="119">
        <v>103875.0</v>
      </c>
    </row>
    <row r="309">
      <c r="A309" s="118" t="s">
        <v>75</v>
      </c>
      <c r="B309" s="119">
        <v>28401.0</v>
      </c>
      <c r="C309" s="119">
        <v>29557.0</v>
      </c>
      <c r="D309" s="119">
        <v>34074.0</v>
      </c>
      <c r="H309" s="119">
        <v>21263.0</v>
      </c>
      <c r="I309" s="119">
        <v>24312.0</v>
      </c>
    </row>
    <row r="310">
      <c r="A310" s="118" t="s">
        <v>76</v>
      </c>
      <c r="B310" s="119">
        <v>24416.0</v>
      </c>
      <c r="C310" s="119">
        <v>24112.0</v>
      </c>
      <c r="D310" s="119">
        <v>26998.0</v>
      </c>
      <c r="H310" s="119">
        <v>3826.0</v>
      </c>
      <c r="I310" s="119">
        <v>16206.0</v>
      </c>
    </row>
    <row r="311">
      <c r="A311" s="118" t="s">
        <v>7</v>
      </c>
      <c r="B311" s="119">
        <v>2055.0</v>
      </c>
      <c r="C311" s="119">
        <v>2245.0</v>
      </c>
      <c r="D311" s="119">
        <v>2428.0</v>
      </c>
      <c r="H311" s="119">
        <v>1478.0</v>
      </c>
      <c r="I311" s="119">
        <v>1693.0</v>
      </c>
    </row>
    <row r="312">
      <c r="A312" s="118" t="s">
        <v>77</v>
      </c>
      <c r="B312" s="119">
        <v>171910.0</v>
      </c>
      <c r="C312" s="119">
        <v>185950.0</v>
      </c>
      <c r="D312" s="119">
        <v>208903.0</v>
      </c>
      <c r="H312" s="119">
        <v>120200.0</v>
      </c>
      <c r="I312" s="119">
        <v>146086.0</v>
      </c>
    </row>
    <row r="313">
      <c r="A313" s="87"/>
      <c r="B313" s="87"/>
      <c r="C313" s="87"/>
      <c r="D313" s="87"/>
      <c r="H313" s="87"/>
      <c r="I313" s="87"/>
    </row>
    <row r="314">
      <c r="A314" s="118" t="s">
        <v>78</v>
      </c>
      <c r="B314" s="119">
        <v>12930.0</v>
      </c>
      <c r="C314" s="119">
        <v>15209.0</v>
      </c>
      <c r="D314" s="119">
        <v>17344.0</v>
      </c>
      <c r="H314" s="119">
        <v>10274.0</v>
      </c>
      <c r="I314" s="119">
        <v>11021.0</v>
      </c>
    </row>
    <row r="315">
      <c r="A315" s="118" t="s">
        <v>9</v>
      </c>
      <c r="B315" s="119">
        <v>-1067.0</v>
      </c>
      <c r="C315" s="119">
        <v>-1186.0</v>
      </c>
      <c r="D315" s="119">
        <v>-1400.0</v>
      </c>
      <c r="H315" s="119">
        <v>-618.0</v>
      </c>
      <c r="I315" s="119">
        <v>-790.0</v>
      </c>
    </row>
    <row r="316">
      <c r="A316" s="118" t="s">
        <v>79</v>
      </c>
      <c r="B316" s="119">
        <v>11863.0</v>
      </c>
      <c r="C316" s="119">
        <v>14023.0</v>
      </c>
      <c r="D316" s="119">
        <v>15944.0</v>
      </c>
      <c r="H316" s="119">
        <v>9656.0</v>
      </c>
      <c r="I316" s="119">
        <v>10231.0</v>
      </c>
    </row>
    <row r="317">
      <c r="A317" s="118" t="s">
        <v>12</v>
      </c>
      <c r="B317" s="119">
        <v>-4790.0</v>
      </c>
      <c r="C317" s="119">
        <v>-3200.0</v>
      </c>
      <c r="D317" s="119">
        <v>-3562.0</v>
      </c>
      <c r="H317" s="119">
        <v>-4037.0</v>
      </c>
      <c r="I317" s="119">
        <v>-4363.0</v>
      </c>
    </row>
    <row r="318">
      <c r="A318" s="118" t="s">
        <v>80</v>
      </c>
      <c r="B318" s="119">
        <v>7073.0</v>
      </c>
      <c r="C318" s="119">
        <v>10823.0</v>
      </c>
      <c r="D318" s="119">
        <v>12382.0</v>
      </c>
      <c r="H318" s="119">
        <v>5619.0</v>
      </c>
      <c r="I318" s="119">
        <v>5868.0</v>
      </c>
    </row>
    <row r="319">
      <c r="A319" s="118" t="s">
        <v>81</v>
      </c>
      <c r="B319" s="119">
        <v>-56.0</v>
      </c>
      <c r="C319" s="119">
        <v>-265.0</v>
      </c>
      <c r="D319" s="119">
        <v>-396.0</v>
      </c>
      <c r="H319" s="119">
        <v>0.0</v>
      </c>
      <c r="I319" s="119">
        <v>-55.0</v>
      </c>
    </row>
    <row r="320">
      <c r="A320" s="118" t="s">
        <v>82</v>
      </c>
      <c r="B320" s="119">
        <v>7017.0</v>
      </c>
      <c r="C320" s="119">
        <v>10558.0</v>
      </c>
      <c r="D320" s="119">
        <v>11986.0</v>
      </c>
      <c r="H320" s="119">
        <v>5619.0</v>
      </c>
      <c r="I320" s="119">
        <v>5813.0</v>
      </c>
    </row>
    <row r="321">
      <c r="A321" s="87"/>
      <c r="B321" s="87"/>
      <c r="C321" s="87"/>
      <c r="D321" s="87"/>
      <c r="H321" s="87"/>
      <c r="I321" s="87"/>
    </row>
    <row r="322">
      <c r="A322" s="118" t="s">
        <v>83</v>
      </c>
      <c r="B322" s="119">
        <v>7.37</v>
      </c>
      <c r="C322" s="119">
        <v>10.95</v>
      </c>
      <c r="D322" s="119">
        <v>12.45</v>
      </c>
      <c r="H322" s="119">
        <v>5.78</v>
      </c>
      <c r="I322" s="119">
        <v>6.1</v>
      </c>
    </row>
    <row r="323">
      <c r="A323" s="118" t="s">
        <v>84</v>
      </c>
      <c r="B323" s="119">
        <v>7.25</v>
      </c>
      <c r="C323" s="119">
        <v>10.72</v>
      </c>
      <c r="D323" s="119">
        <v>12.19</v>
      </c>
      <c r="H323" s="119">
        <v>5.7</v>
      </c>
      <c r="I323" s="119">
        <v>6.01</v>
      </c>
    </row>
    <row r="324">
      <c r="A324" s="118" t="s">
        <v>85</v>
      </c>
      <c r="B324" s="119">
        <v>952.0</v>
      </c>
      <c r="C324" s="119">
        <v>964.0</v>
      </c>
      <c r="D324" s="119">
        <v>963.0</v>
      </c>
      <c r="H324" s="119">
        <v>972.0</v>
      </c>
      <c r="I324" s="119">
        <v>953.0</v>
      </c>
    </row>
    <row r="325">
      <c r="A325" s="118" t="s">
        <v>86</v>
      </c>
      <c r="B325" s="119">
        <v>16.0</v>
      </c>
      <c r="C325" s="119">
        <v>21.0</v>
      </c>
      <c r="D325" s="119">
        <v>20.0</v>
      </c>
      <c r="H325" s="119">
        <v>14.0</v>
      </c>
      <c r="I325" s="119">
        <v>14.0</v>
      </c>
    </row>
    <row r="326">
      <c r="A326" s="118" t="s">
        <v>87</v>
      </c>
      <c r="B326" s="119">
        <v>968.0</v>
      </c>
      <c r="C326" s="119">
        <v>985.0</v>
      </c>
      <c r="D326" s="119">
        <v>983.0</v>
      </c>
      <c r="H326" s="119">
        <v>986.0</v>
      </c>
      <c r="I326" s="119">
        <v>967.0</v>
      </c>
    </row>
    <row r="327">
      <c r="B327" s="119">
        <v>3.0</v>
      </c>
      <c r="C327" s="119">
        <v>5.0</v>
      </c>
      <c r="D327" s="119">
        <v>6.0</v>
      </c>
      <c r="H327" s="119">
        <v>6.0</v>
      </c>
      <c r="I327" s="119">
        <v>8.0</v>
      </c>
    </row>
    <row r="328">
      <c r="H328" s="119">
        <v>1.405</v>
      </c>
      <c r="I328" s="119">
        <v>1.875</v>
      </c>
    </row>
    <row r="332">
      <c r="B332" s="119">
        <v>25312.0</v>
      </c>
      <c r="C332" s="119">
        <v>25427.0</v>
      </c>
    </row>
    <row r="333">
      <c r="B333" s="119">
        <v>3801.0</v>
      </c>
      <c r="C333" s="119">
        <v>4201.0</v>
      </c>
    </row>
    <row r="334">
      <c r="B334" s="119">
        <v>22365.0</v>
      </c>
      <c r="C334" s="119">
        <v>21276.0</v>
      </c>
    </row>
    <row r="335">
      <c r="B335" s="119">
        <v>26089.0</v>
      </c>
      <c r="C335" s="119">
        <v>17694.0</v>
      </c>
    </row>
    <row r="336">
      <c r="B336" s="87"/>
      <c r="C336" s="119">
        <v>3755.0</v>
      </c>
    </row>
    <row r="337">
      <c r="B337" s="119">
        <v>8212.0</v>
      </c>
      <c r="C337" s="119">
        <v>6084.0</v>
      </c>
    </row>
    <row r="338">
      <c r="B338" s="119">
        <v>85779.0</v>
      </c>
      <c r="C338" s="119">
        <v>78437.0</v>
      </c>
    </row>
    <row r="339">
      <c r="B339" s="119">
        <v>52354.0</v>
      </c>
      <c r="C339" s="119">
        <v>47609.0</v>
      </c>
    </row>
    <row r="340">
      <c r="B340" s="119">
        <v>10553.0</v>
      </c>
      <c r="C340" s="119">
        <v>11450.0</v>
      </c>
    </row>
    <row r="341">
      <c r="B341" s="119">
        <v>106734.0</v>
      </c>
      <c r="C341" s="119">
        <v>103732.0</v>
      </c>
    </row>
    <row r="342">
      <c r="B342" s="119">
        <v>23268.0</v>
      </c>
      <c r="C342" s="119">
        <v>15194.0</v>
      </c>
    </row>
    <row r="343">
      <c r="B343" s="119">
        <v>19590.0</v>
      </c>
      <c r="C343" s="119">
        <v>17298.0</v>
      </c>
    </row>
    <row r="344">
      <c r="B344" s="119">
        <v>298278.0</v>
      </c>
      <c r="C344" s="119">
        <v>273720.0</v>
      </c>
    </row>
    <row r="345">
      <c r="B345" s="87"/>
      <c r="C345" s="87"/>
    </row>
    <row r="346">
      <c r="B346" s="87"/>
      <c r="C346" s="87"/>
    </row>
    <row r="347">
      <c r="B347" s="87"/>
      <c r="C347" s="87"/>
    </row>
    <row r="348">
      <c r="B348" s="119">
        <v>34224.0</v>
      </c>
      <c r="C348" s="119">
        <v>32395.0</v>
      </c>
    </row>
    <row r="349">
      <c r="B349" s="119">
        <v>34337.0</v>
      </c>
      <c r="C349" s="119">
        <v>31958.0</v>
      </c>
    </row>
    <row r="350">
      <c r="B350" s="119">
        <v>4545.0</v>
      </c>
      <c r="C350" s="119">
        <v>4274.0</v>
      </c>
    </row>
    <row r="351">
      <c r="B351" s="119">
        <v>3317.0</v>
      </c>
      <c r="C351" s="119">
        <v>3355.0</v>
      </c>
    </row>
    <row r="352">
      <c r="B352" s="119">
        <v>27346.0</v>
      </c>
      <c r="C352" s="119">
        <v>27072.0</v>
      </c>
    </row>
    <row r="353">
      <c r="B353" s="119">
        <v>103769.0</v>
      </c>
      <c r="C353" s="119">
        <v>99054.0</v>
      </c>
    </row>
    <row r="354">
      <c r="B354" s="119">
        <v>72359.0</v>
      </c>
      <c r="C354" s="119">
        <v>58263.0</v>
      </c>
    </row>
    <row r="355">
      <c r="B355" s="119">
        <v>3620.0</v>
      </c>
      <c r="C355" s="119">
        <v>3021.0</v>
      </c>
    </row>
    <row r="356">
      <c r="B356" s="119">
        <v>15939.0</v>
      </c>
      <c r="C356" s="119">
        <v>14463.0</v>
      </c>
    </row>
    <row r="357">
      <c r="B357" s="119">
        <v>195687.0</v>
      </c>
      <c r="C357" s="119">
        <v>174801.0</v>
      </c>
    </row>
    <row r="358">
      <c r="B358" s="87"/>
      <c r="C358" s="87"/>
    </row>
    <row r="359">
      <c r="B359" s="119">
        <v>4323.0</v>
      </c>
      <c r="C359" s="119">
        <v>4498.0</v>
      </c>
    </row>
    <row r="360">
      <c r="B360" s="87"/>
      <c r="C360" s="87"/>
    </row>
    <row r="361">
      <c r="B361" s="87"/>
      <c r="C361" s="87"/>
    </row>
    <row r="362">
      <c r="B362" s="119">
        <v>9.0</v>
      </c>
      <c r="C362" s="119">
        <v>9.0</v>
      </c>
    </row>
    <row r="363">
      <c r="B363" s="119">
        <v>96036.0</v>
      </c>
      <c r="C363" s="119">
        <v>95774.0</v>
      </c>
    </row>
    <row r="364">
      <c r="B364" s="119">
        <v>-3387.0</v>
      </c>
      <c r="C364" s="119">
        <v>-7027.0</v>
      </c>
    </row>
    <row r="365">
      <c r="B365" s="119">
        <v>5610.0</v>
      </c>
      <c r="C365" s="119">
        <v>5665.0</v>
      </c>
    </row>
    <row r="366">
      <c r="B366" s="119">
        <v>98268.0</v>
      </c>
      <c r="C366" s="119">
        <v>94421.0</v>
      </c>
    </row>
    <row r="367">
      <c r="B367" s="119">
        <v>298278.0</v>
      </c>
      <c r="C367" s="119">
        <v>273720.0</v>
      </c>
    </row>
  </sheetData>
  <mergeCells count="1">
    <mergeCell ref="A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63"/>
  </cols>
  <sheetData>
    <row r="1">
      <c r="B1" s="121">
        <v>1.0</v>
      </c>
      <c r="C1" s="121">
        <v>2.0</v>
      </c>
      <c r="D1" s="121">
        <v>3.0</v>
      </c>
      <c r="E1" s="121">
        <v>4.0</v>
      </c>
      <c r="F1" s="121">
        <v>5.0</v>
      </c>
      <c r="G1" s="121">
        <v>6.0</v>
      </c>
      <c r="H1" s="121">
        <v>7.0</v>
      </c>
      <c r="I1" s="121">
        <v>8.0</v>
      </c>
      <c r="J1" s="121">
        <v>9.0</v>
      </c>
      <c r="K1" s="121">
        <v>10.0</v>
      </c>
      <c r="L1" s="121">
        <v>11.0</v>
      </c>
      <c r="M1" s="121">
        <v>12.0</v>
      </c>
      <c r="N1" s="121">
        <v>13.0</v>
      </c>
    </row>
    <row r="2">
      <c r="A2" s="122"/>
      <c r="B2" s="4" t="s">
        <v>88</v>
      </c>
      <c r="N2" s="123" t="s">
        <v>89</v>
      </c>
      <c r="U2" s="122"/>
      <c r="V2" s="122"/>
    </row>
    <row r="3">
      <c r="B3" s="124">
        <v>2014.0</v>
      </c>
      <c r="C3" s="124">
        <v>2015.0</v>
      </c>
      <c r="D3" s="124">
        <v>2016.0</v>
      </c>
      <c r="E3" s="124">
        <v>2017.0</v>
      </c>
      <c r="F3" s="124">
        <v>2018.0</v>
      </c>
      <c r="G3" s="124">
        <v>2019.0</v>
      </c>
      <c r="H3" s="124">
        <v>2020.0</v>
      </c>
      <c r="I3" s="124">
        <v>2021.0</v>
      </c>
      <c r="J3" s="124">
        <v>2022.0</v>
      </c>
      <c r="K3" s="124">
        <v>2023.0</v>
      </c>
      <c r="L3" s="124">
        <v>2024.0</v>
      </c>
      <c r="M3" s="124" t="s">
        <v>15</v>
      </c>
      <c r="N3" s="125">
        <v>2026.0</v>
      </c>
      <c r="O3" s="126">
        <v>2027.0</v>
      </c>
      <c r="P3" s="126">
        <v>2028.0</v>
      </c>
      <c r="Q3" s="126">
        <v>2029.0</v>
      </c>
      <c r="R3" s="126">
        <v>2030.0</v>
      </c>
      <c r="S3" s="126">
        <v>2031.0</v>
      </c>
      <c r="T3" s="126">
        <v>2032.0</v>
      </c>
      <c r="U3" s="127"/>
      <c r="V3" s="127"/>
    </row>
    <row r="4">
      <c r="A4" s="128" t="s">
        <v>1</v>
      </c>
      <c r="B4" s="10">
        <v>130474.0</v>
      </c>
      <c r="C4" s="10">
        <v>157107.0</v>
      </c>
      <c r="D4" s="10">
        <v>184840.0</v>
      </c>
      <c r="E4" s="10">
        <v>201159.0</v>
      </c>
      <c r="F4" s="10">
        <v>226247.0</v>
      </c>
      <c r="G4" s="10">
        <v>242155.0</v>
      </c>
      <c r="H4" s="10">
        <v>257141.0</v>
      </c>
      <c r="I4" s="10">
        <v>287597.0</v>
      </c>
      <c r="J4" s="10">
        <v>324162.0</v>
      </c>
      <c r="K4" s="10">
        <v>371622.0</v>
      </c>
      <c r="L4" s="10">
        <v>400278.0</v>
      </c>
      <c r="M4" s="129">
        <v>447567.0</v>
      </c>
      <c r="N4" s="130">
        <v>439000.0</v>
      </c>
      <c r="O4" s="10">
        <f t="shared" ref="O4:T4" si="1">N4*(1+O5)</f>
        <v>445052.2368</v>
      </c>
      <c r="P4" s="10">
        <f t="shared" si="1"/>
        <v>454837.3406</v>
      </c>
      <c r="Q4" s="10">
        <f t="shared" si="1"/>
        <v>468567.25</v>
      </c>
      <c r="R4" s="10">
        <f t="shared" si="1"/>
        <v>486553.8676</v>
      </c>
      <c r="S4" s="10">
        <f t="shared" si="1"/>
        <v>509220.6687</v>
      </c>
      <c r="T4" s="10">
        <f t="shared" si="1"/>
        <v>537227.8055</v>
      </c>
      <c r="U4" s="10"/>
      <c r="V4" s="10"/>
    </row>
    <row r="5">
      <c r="A5" s="131" t="s">
        <v>2</v>
      </c>
      <c r="B5" s="132" t="s">
        <v>3</v>
      </c>
      <c r="C5" s="16">
        <v>0.2041249597620982</v>
      </c>
      <c r="D5" s="16">
        <v>0.1765230066133272</v>
      </c>
      <c r="E5" s="16">
        <v>0.08828716727980956</v>
      </c>
      <c r="F5" s="16">
        <v>0.1247172634582594</v>
      </c>
      <c r="G5" s="16">
        <v>0.07031253453084463</v>
      </c>
      <c r="H5" s="16">
        <v>0.06188598211889085</v>
      </c>
      <c r="I5" s="16">
        <v>0.11844085540617799</v>
      </c>
      <c r="J5" s="16">
        <v>0.12713971286209524</v>
      </c>
      <c r="K5" s="16">
        <v>0.14640827734281014</v>
      </c>
      <c r="L5" s="16">
        <v>0.07711061239646733</v>
      </c>
      <c r="M5" s="16">
        <v>0.11822283512958487</v>
      </c>
      <c r="N5" s="133">
        <v>-0.01921358355674707</v>
      </c>
      <c r="O5" s="16">
        <v>0.01378641644325293</v>
      </c>
      <c r="P5" s="16">
        <f t="shared" ref="P5:S5" si="2">O5+0.82%</f>
        <v>0.02198641644</v>
      </c>
      <c r="Q5" s="16">
        <f t="shared" si="2"/>
        <v>0.03018641644</v>
      </c>
      <c r="R5" s="16">
        <f t="shared" si="2"/>
        <v>0.03838641644</v>
      </c>
      <c r="S5" s="16">
        <f t="shared" si="2"/>
        <v>0.04658641644</v>
      </c>
      <c r="T5" s="68">
        <v>0.055</v>
      </c>
      <c r="U5" s="16"/>
      <c r="V5" s="68"/>
    </row>
    <row r="6">
      <c r="A6" s="128"/>
      <c r="B6" s="20"/>
      <c r="C6" s="134"/>
      <c r="D6" s="134">
        <v>1.0</v>
      </c>
      <c r="E6" s="134">
        <v>2.0</v>
      </c>
      <c r="F6" s="134">
        <v>3.0</v>
      </c>
      <c r="G6" s="134"/>
      <c r="H6" s="134"/>
      <c r="I6" s="134">
        <v>4.0</v>
      </c>
      <c r="J6" s="134">
        <v>5.0</v>
      </c>
      <c r="K6" s="134">
        <v>6.0</v>
      </c>
      <c r="L6" s="134">
        <v>7.0</v>
      </c>
      <c r="M6" s="56"/>
      <c r="N6" s="135"/>
      <c r="O6" s="56"/>
      <c r="P6" s="56"/>
      <c r="Q6" s="56"/>
      <c r="R6" s="101">
        <v>0.00554</v>
      </c>
      <c r="S6" s="56"/>
      <c r="T6" s="56"/>
      <c r="U6" s="56"/>
      <c r="V6" s="56"/>
      <c r="W6" s="117"/>
    </row>
    <row r="7">
      <c r="A7" s="116" t="s">
        <v>4</v>
      </c>
      <c r="B7" s="27">
        <v>118722.0</v>
      </c>
      <c r="C7" s="136">
        <v>146068.0</v>
      </c>
      <c r="D7" s="136">
        <v>171910.0</v>
      </c>
      <c r="E7" s="136">
        <v>185950.0</v>
      </c>
      <c r="F7" s="136">
        <v>208903.0</v>
      </c>
      <c r="G7" s="136">
        <v>222470.0</v>
      </c>
      <c r="H7" s="136">
        <v>234736.0</v>
      </c>
      <c r="I7" s="27">
        <v>260524.0</v>
      </c>
      <c r="J7" s="136">
        <v>295727.0</v>
      </c>
      <c r="K7" s="136">
        <v>339264.0</v>
      </c>
      <c r="L7" s="136">
        <v>367991.0</v>
      </c>
      <c r="M7" s="136">
        <f>313995+59592+50655</f>
        <v>424242</v>
      </c>
      <c r="N7" s="137">
        <f>N4-N9</f>
        <v>410196.0133</v>
      </c>
      <c r="O7" s="27">
        <f t="shared" ref="O7:T7" si="3">O4*O8</f>
        <v>409962.8648</v>
      </c>
      <c r="P7" s="27">
        <f t="shared" si="3"/>
        <v>418976.4791</v>
      </c>
      <c r="Q7" s="27">
        <f t="shared" si="3"/>
        <v>431623.8776</v>
      </c>
      <c r="R7" s="27">
        <f t="shared" si="3"/>
        <v>448192.3715</v>
      </c>
      <c r="S7" s="27">
        <f t="shared" si="3"/>
        <v>469072.048</v>
      </c>
      <c r="T7" s="27">
        <f t="shared" si="3"/>
        <v>494871.0106</v>
      </c>
      <c r="U7" s="10"/>
      <c r="V7" s="10"/>
    </row>
    <row r="8">
      <c r="A8" s="138" t="s">
        <v>5</v>
      </c>
      <c r="B8" s="30">
        <f t="shared" ref="B8:M8" si="4">B7/B4</f>
        <v>0.9099284149</v>
      </c>
      <c r="C8" s="30">
        <f t="shared" si="4"/>
        <v>0.9297357852</v>
      </c>
      <c r="D8" s="30">
        <f t="shared" si="4"/>
        <v>0.9300476087</v>
      </c>
      <c r="E8" s="30">
        <f t="shared" si="4"/>
        <v>0.9243931417</v>
      </c>
      <c r="F8" s="30">
        <f t="shared" si="4"/>
        <v>0.92334042</v>
      </c>
      <c r="G8" s="30">
        <f t="shared" si="4"/>
        <v>0.9187090913</v>
      </c>
      <c r="H8" s="30">
        <f t="shared" si="4"/>
        <v>0.9128688152</v>
      </c>
      <c r="I8" s="30">
        <f t="shared" si="4"/>
        <v>0.9058648039</v>
      </c>
      <c r="J8" s="30">
        <f t="shared" si="4"/>
        <v>0.9122815136</v>
      </c>
      <c r="K8" s="31">
        <f t="shared" si="4"/>
        <v>0.9129276523</v>
      </c>
      <c r="L8" s="31">
        <f t="shared" si="4"/>
        <v>0.9193385597</v>
      </c>
      <c r="M8" s="139">
        <f t="shared" si="4"/>
        <v>0.9478848977</v>
      </c>
      <c r="N8" s="140">
        <f>IFERROR(__xludf.DUMMYFUNCTION("AVERAGE.WEIGHTED(B8:M8,B1:M1)"),0.921156733808051)</f>
        <v>0.9211567338</v>
      </c>
      <c r="O8" s="39">
        <f>IFERROR(__xludf.DUMMYFUNCTION("AVERAGE.WEIGHTED(B8:N8,B1:N1)"),0.921156733808051)</f>
        <v>0.9211567338</v>
      </c>
      <c r="P8" s="39">
        <f t="shared" ref="P8:T8" si="5">O8</f>
        <v>0.9211567338</v>
      </c>
      <c r="Q8" s="39">
        <f t="shared" si="5"/>
        <v>0.9211567338</v>
      </c>
      <c r="R8" s="39">
        <f t="shared" si="5"/>
        <v>0.9211567338</v>
      </c>
      <c r="S8" s="39">
        <f t="shared" si="5"/>
        <v>0.9211567338</v>
      </c>
      <c r="T8" s="39">
        <f t="shared" si="5"/>
        <v>0.9211567338</v>
      </c>
      <c r="U8" s="39"/>
      <c r="V8" s="39"/>
    </row>
    <row r="9">
      <c r="A9" s="128" t="s">
        <v>6</v>
      </c>
      <c r="B9" s="27">
        <v>11752.0</v>
      </c>
      <c r="C9" s="27">
        <v>12714.0</v>
      </c>
      <c r="D9" s="27">
        <v>14985.0</v>
      </c>
      <c r="E9" s="27">
        <v>17454.0</v>
      </c>
      <c r="F9" s="27">
        <v>19772.0</v>
      </c>
      <c r="G9" s="27">
        <v>22405.0</v>
      </c>
      <c r="H9" s="27">
        <v>25296.0</v>
      </c>
      <c r="I9" s="27">
        <v>27073.0</v>
      </c>
      <c r="J9" s="27">
        <v>31835.0</v>
      </c>
      <c r="K9" s="27">
        <v>36330.0</v>
      </c>
      <c r="L9" s="27">
        <v>36386.0</v>
      </c>
      <c r="M9" s="141">
        <f>M4-M7</f>
        <v>23325</v>
      </c>
      <c r="N9" s="137">
        <f>N13+N11</f>
        <v>28803.98667</v>
      </c>
      <c r="O9" s="27">
        <f t="shared" ref="O9:T9" si="6">O4-O7</f>
        <v>35089.37198</v>
      </c>
      <c r="P9" s="27">
        <f t="shared" si="6"/>
        <v>35860.86152</v>
      </c>
      <c r="Q9" s="27">
        <f t="shared" si="6"/>
        <v>36943.37242</v>
      </c>
      <c r="R9" s="27">
        <f t="shared" si="6"/>
        <v>38361.4961</v>
      </c>
      <c r="S9" s="27">
        <f t="shared" si="6"/>
        <v>40148.62073</v>
      </c>
      <c r="T9" s="27">
        <f t="shared" si="6"/>
        <v>42356.79487</v>
      </c>
      <c r="U9" s="10"/>
      <c r="V9" s="10"/>
    </row>
    <row r="10">
      <c r="A10" s="138" t="s">
        <v>5</v>
      </c>
      <c r="B10" s="16">
        <v>0.09007158514340022</v>
      </c>
      <c r="C10" s="16">
        <v>0.08092573850942351</v>
      </c>
      <c r="D10" s="16">
        <v>0.08107011469378922</v>
      </c>
      <c r="E10" s="16">
        <v>0.0867671841677479</v>
      </c>
      <c r="F10" s="16">
        <v>0.08739121402714732</v>
      </c>
      <c r="G10" s="16">
        <v>0.09252338378311412</v>
      </c>
      <c r="H10" s="16">
        <v>0.09837404381253864</v>
      </c>
      <c r="I10" s="16">
        <v>0.09413519612513344</v>
      </c>
      <c r="J10" s="16">
        <v>0.09820706930485375</v>
      </c>
      <c r="K10" s="16">
        <v>0.09776062773463358</v>
      </c>
      <c r="L10" s="16">
        <v>0.09090182323285317</v>
      </c>
      <c r="M10" s="39">
        <f t="shared" ref="M10:T10" si="7">M9/M4</f>
        <v>0.05211510232</v>
      </c>
      <c r="N10" s="140">
        <f t="shared" si="7"/>
        <v>0.0656127259</v>
      </c>
      <c r="O10" s="39">
        <f t="shared" si="7"/>
        <v>0.07884326619</v>
      </c>
      <c r="P10" s="39">
        <f t="shared" si="7"/>
        <v>0.07884326619</v>
      </c>
      <c r="Q10" s="39">
        <f t="shared" si="7"/>
        <v>0.07884326619</v>
      </c>
      <c r="R10" s="39">
        <f t="shared" si="7"/>
        <v>0.07884326619</v>
      </c>
      <c r="S10" s="39">
        <f t="shared" si="7"/>
        <v>0.07884326619</v>
      </c>
      <c r="T10" s="39">
        <f t="shared" si="7"/>
        <v>0.07884326619</v>
      </c>
      <c r="U10" s="39"/>
      <c r="V10" s="39"/>
    </row>
    <row r="11">
      <c r="A11" s="142" t="s">
        <v>7</v>
      </c>
      <c r="B11" s="20">
        <v>1478.0</v>
      </c>
      <c r="C11" s="20">
        <v>1693.0</v>
      </c>
      <c r="D11" s="20">
        <v>2055.0</v>
      </c>
      <c r="E11" s="20">
        <v>2245.0</v>
      </c>
      <c r="F11" s="20">
        <v>2428.0</v>
      </c>
      <c r="G11" s="105">
        <v>2720.0</v>
      </c>
      <c r="H11" s="105">
        <v>2891.0</v>
      </c>
      <c r="I11" s="105">
        <v>3103.0</v>
      </c>
      <c r="J11" s="105">
        <v>3400.0</v>
      </c>
      <c r="K11" s="105">
        <v>3972.0</v>
      </c>
      <c r="L11" s="105">
        <v>4099.0</v>
      </c>
      <c r="M11" s="47">
        <f>M9-M13</f>
        <v>4361</v>
      </c>
      <c r="N11" s="143">
        <f t="shared" ref="N11:T11" si="8">N12*N4</f>
        <v>4658.986669</v>
      </c>
      <c r="O11" s="20">
        <f t="shared" si="8"/>
        <v>4723.217399</v>
      </c>
      <c r="P11" s="20">
        <f t="shared" si="8"/>
        <v>4827.064024</v>
      </c>
      <c r="Q11" s="20">
        <f t="shared" si="8"/>
        <v>4972.775789</v>
      </c>
      <c r="R11" s="20">
        <f t="shared" si="8"/>
        <v>5163.662831</v>
      </c>
      <c r="S11" s="20">
        <f t="shared" si="8"/>
        <v>5404.219378</v>
      </c>
      <c r="T11" s="20">
        <f t="shared" si="8"/>
        <v>5701.451444</v>
      </c>
      <c r="U11" s="20"/>
      <c r="V11" s="20"/>
    </row>
    <row r="12">
      <c r="A12" s="138" t="s">
        <v>5</v>
      </c>
      <c r="B12" s="16">
        <v>0.011327927403160782</v>
      </c>
      <c r="C12" s="16">
        <v>0.010776095272648577</v>
      </c>
      <c r="D12" s="16">
        <v>0.01111772343648561</v>
      </c>
      <c r="E12" s="16">
        <v>0.011160325911343763</v>
      </c>
      <c r="F12" s="16">
        <v>0.010731634010616716</v>
      </c>
      <c r="G12" s="39">
        <v>0.011232475067621978</v>
      </c>
      <c r="H12" s="39">
        <v>0.011242858976203716</v>
      </c>
      <c r="I12" s="39">
        <v>0.01078940322743283</v>
      </c>
      <c r="J12" s="144">
        <v>0.010488582869059298</v>
      </c>
      <c r="K12" s="144">
        <v>0.010688280026478519</v>
      </c>
      <c r="L12" s="144">
        <v>0.010240382933860967</v>
      </c>
      <c r="M12" s="16">
        <f>M11/M4</f>
        <v>0.009743792549</v>
      </c>
      <c r="N12" s="133">
        <f>IFERROR(__xludf.DUMMYFUNCTION("AVERAGE.WEIGHTED(B12:M12,B1:M1)"),0.010612725897022154)</f>
        <v>0.0106127259</v>
      </c>
      <c r="O12" s="16">
        <f t="shared" ref="O12:T12" si="9">N12</f>
        <v>0.0106127259</v>
      </c>
      <c r="P12" s="16">
        <f t="shared" si="9"/>
        <v>0.0106127259</v>
      </c>
      <c r="Q12" s="16">
        <f t="shared" si="9"/>
        <v>0.0106127259</v>
      </c>
      <c r="R12" s="16">
        <f t="shared" si="9"/>
        <v>0.0106127259</v>
      </c>
      <c r="S12" s="16">
        <f t="shared" si="9"/>
        <v>0.0106127259</v>
      </c>
      <c r="T12" s="16">
        <f t="shared" si="9"/>
        <v>0.0106127259</v>
      </c>
      <c r="U12" s="16"/>
      <c r="V12" s="16"/>
    </row>
    <row r="13">
      <c r="A13" s="128" t="s">
        <v>8</v>
      </c>
      <c r="B13" s="27">
        <v>10274.0</v>
      </c>
      <c r="C13" s="27">
        <v>11021.0</v>
      </c>
      <c r="D13" s="27">
        <v>12930.0</v>
      </c>
      <c r="E13" s="27">
        <v>15209.0</v>
      </c>
      <c r="F13" s="27">
        <v>17344.0</v>
      </c>
      <c r="G13" s="27">
        <v>19685.0</v>
      </c>
      <c r="H13" s="27">
        <v>22405.0</v>
      </c>
      <c r="I13" s="27">
        <v>23970.0</v>
      </c>
      <c r="J13" s="27">
        <v>28435.0</v>
      </c>
      <c r="K13" s="27">
        <v>32358.0</v>
      </c>
      <c r="L13" s="27">
        <v>32287.0</v>
      </c>
      <c r="M13" s="136">
        <v>18964.0</v>
      </c>
      <c r="N13" s="137">
        <f>N4*N14</f>
        <v>24145</v>
      </c>
      <c r="O13" s="27">
        <f t="shared" ref="O13:T13" si="10">O9-O11</f>
        <v>30366.15458</v>
      </c>
      <c r="P13" s="27">
        <f t="shared" si="10"/>
        <v>31033.7975</v>
      </c>
      <c r="Q13" s="27">
        <f t="shared" si="10"/>
        <v>31970.59663</v>
      </c>
      <c r="R13" s="27">
        <f t="shared" si="10"/>
        <v>33197.83327</v>
      </c>
      <c r="S13" s="27">
        <f t="shared" si="10"/>
        <v>34744.40136</v>
      </c>
      <c r="T13" s="27">
        <f t="shared" si="10"/>
        <v>36655.34343</v>
      </c>
      <c r="U13" s="10"/>
      <c r="V13" s="10"/>
    </row>
    <row r="14">
      <c r="A14" s="138" t="s">
        <v>5</v>
      </c>
      <c r="B14" s="41">
        <v>0.07874365774023943</v>
      </c>
      <c r="C14" s="41">
        <v>0.07014964323677493</v>
      </c>
      <c r="D14" s="16">
        <v>0.06995239125730361</v>
      </c>
      <c r="E14" s="16">
        <v>0.07560685825640413</v>
      </c>
      <c r="F14" s="16">
        <v>0.0766595800165306</v>
      </c>
      <c r="G14" s="16">
        <v>0.08129090871549215</v>
      </c>
      <c r="H14" s="16">
        <v>0.08713118483633493</v>
      </c>
      <c r="I14" s="16">
        <v>0.0833457928977006</v>
      </c>
      <c r="J14" s="16">
        <v>0.08771848643579445</v>
      </c>
      <c r="K14" s="16">
        <v>0.08707234770815506</v>
      </c>
      <c r="L14" s="16">
        <v>0.0806614402989922</v>
      </c>
      <c r="M14" s="16">
        <f>M13/M4</f>
        <v>0.04237130977</v>
      </c>
      <c r="N14" s="145">
        <v>0.055</v>
      </c>
      <c r="O14" s="16">
        <f t="shared" ref="O14:T14" si="11">O13/O4</f>
        <v>0.06823054029</v>
      </c>
      <c r="P14" s="16">
        <f t="shared" si="11"/>
        <v>0.06823054029</v>
      </c>
      <c r="Q14" s="16">
        <f t="shared" si="11"/>
        <v>0.06823054029</v>
      </c>
      <c r="R14" s="16">
        <f t="shared" si="11"/>
        <v>0.06823054029</v>
      </c>
      <c r="S14" s="16">
        <f t="shared" si="11"/>
        <v>0.06823054029</v>
      </c>
      <c r="T14" s="16">
        <f t="shared" si="11"/>
        <v>0.06823054029</v>
      </c>
      <c r="U14" s="16"/>
      <c r="V14" s="16"/>
    </row>
    <row r="15">
      <c r="A15" s="142" t="s">
        <v>9</v>
      </c>
      <c r="B15" s="42">
        <v>-618.0</v>
      </c>
      <c r="C15" s="42">
        <v>-790.0</v>
      </c>
      <c r="D15" s="42">
        <v>-1067.0</v>
      </c>
      <c r="E15" s="42">
        <v>-1186.0</v>
      </c>
      <c r="F15" s="42">
        <v>-1400.0</v>
      </c>
      <c r="G15" s="90">
        <v>-1704.0</v>
      </c>
      <c r="H15" s="90">
        <v>-1663.0</v>
      </c>
      <c r="I15" s="90">
        <v>-1660.0</v>
      </c>
      <c r="J15" s="90">
        <v>-2092.0</v>
      </c>
      <c r="K15" s="90">
        <v>-3246.0</v>
      </c>
      <c r="L15" s="90">
        <v>-3906.0</v>
      </c>
      <c r="M15" s="48">
        <v>-4002.0</v>
      </c>
      <c r="N15" s="146">
        <f t="shared" ref="N15:T15" si="12">-N16*N4</f>
        <v>-3266.446991</v>
      </c>
      <c r="O15" s="42">
        <f t="shared" si="12"/>
        <v>-3311.479589</v>
      </c>
      <c r="P15" s="42">
        <f t="shared" si="12"/>
        <v>-3384.287158</v>
      </c>
      <c r="Q15" s="42">
        <f t="shared" si="12"/>
        <v>-3486.44666</v>
      </c>
      <c r="R15" s="42">
        <f t="shared" si="12"/>
        <v>-3620.278853</v>
      </c>
      <c r="S15" s="42">
        <f t="shared" si="12"/>
        <v>-3788.934672</v>
      </c>
      <c r="T15" s="42">
        <f t="shared" si="12"/>
        <v>-3997.326078</v>
      </c>
      <c r="U15" s="42"/>
      <c r="V15" s="42"/>
    </row>
    <row r="16">
      <c r="A16" s="138" t="s">
        <v>5</v>
      </c>
      <c r="B16" s="16">
        <v>0.004736575869521897</v>
      </c>
      <c r="C16" s="16">
        <v>0.005028420121318592</v>
      </c>
      <c r="D16" s="16">
        <v>0.00577256005193681</v>
      </c>
      <c r="E16" s="16">
        <v>0.00589583364403283</v>
      </c>
      <c r="F16" s="16">
        <v>0.006187927353732867</v>
      </c>
      <c r="G16" s="39">
        <v>0.007036815262951415</v>
      </c>
      <c r="H16" s="39">
        <v>0.006467268930275607</v>
      </c>
      <c r="I16" s="39">
        <v>0.005771965632464873</v>
      </c>
      <c r="J16" s="39">
        <v>0.006453563341785897</v>
      </c>
      <c r="K16" s="39">
        <v>0.008734682015596493</v>
      </c>
      <c r="L16" s="39">
        <v>0.009758218038463268</v>
      </c>
      <c r="M16" s="16">
        <f>-M15/M4</f>
        <v>0.008941678006</v>
      </c>
      <c r="N16" s="133">
        <f>IFERROR(__xludf.DUMMYFUNCTION("AVERAGE.WEIGHTED(B16:M16,B1:M1)"),0.007440653737003448)</f>
        <v>0.007440653737</v>
      </c>
      <c r="O16" s="16">
        <f t="shared" ref="O16:T16" si="13">N16</f>
        <v>0.007440653737</v>
      </c>
      <c r="P16" s="16">
        <f t="shared" si="13"/>
        <v>0.007440653737</v>
      </c>
      <c r="Q16" s="16">
        <f t="shared" si="13"/>
        <v>0.007440653737</v>
      </c>
      <c r="R16" s="16">
        <f t="shared" si="13"/>
        <v>0.007440653737</v>
      </c>
      <c r="S16" s="16">
        <f t="shared" si="13"/>
        <v>0.007440653737</v>
      </c>
      <c r="T16" s="16">
        <f t="shared" si="13"/>
        <v>0.007440653737</v>
      </c>
      <c r="U16" s="16"/>
      <c r="V16" s="16"/>
    </row>
    <row r="17">
      <c r="A17" s="142" t="s">
        <v>10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42">
        <v>-8310.0</v>
      </c>
      <c r="M17" s="20">
        <v>0.0</v>
      </c>
      <c r="N17" s="143">
        <v>0.0</v>
      </c>
      <c r="O17" s="20">
        <v>0.0</v>
      </c>
      <c r="P17" s="20">
        <v>0.0</v>
      </c>
      <c r="Q17" s="20">
        <v>0.0</v>
      </c>
      <c r="R17" s="20">
        <v>0.0</v>
      </c>
      <c r="S17" s="20">
        <v>0.0</v>
      </c>
      <c r="T17" s="20">
        <v>0.0</v>
      </c>
      <c r="U17" s="20"/>
      <c r="V17" s="20"/>
    </row>
    <row r="18">
      <c r="A18" s="128" t="s">
        <v>11</v>
      </c>
      <c r="B18" s="50">
        <v>9656.0</v>
      </c>
      <c r="C18" s="50">
        <v>10231.0</v>
      </c>
      <c r="D18" s="50">
        <v>11863.0</v>
      </c>
      <c r="E18" s="50">
        <v>14023.0</v>
      </c>
      <c r="F18" s="50">
        <v>15944.0</v>
      </c>
      <c r="G18" s="50">
        <v>17981.0</v>
      </c>
      <c r="H18" s="50">
        <v>20742.0</v>
      </c>
      <c r="I18" s="50">
        <v>22310.0</v>
      </c>
      <c r="J18" s="50">
        <v>26343.0</v>
      </c>
      <c r="K18" s="50">
        <f>K13+K15</f>
        <v>29112</v>
      </c>
      <c r="L18" s="50">
        <v>20071.0</v>
      </c>
      <c r="M18" s="50">
        <f t="shared" ref="M18:T18" si="14">M13+M15</f>
        <v>14962</v>
      </c>
      <c r="N18" s="147">
        <f t="shared" si="14"/>
        <v>20878.55301</v>
      </c>
      <c r="O18" s="50">
        <f t="shared" si="14"/>
        <v>27054.67499</v>
      </c>
      <c r="P18" s="50">
        <f t="shared" si="14"/>
        <v>27649.51034</v>
      </c>
      <c r="Q18" s="50">
        <f t="shared" si="14"/>
        <v>28484.14997</v>
      </c>
      <c r="R18" s="50">
        <f t="shared" si="14"/>
        <v>29577.55442</v>
      </c>
      <c r="S18" s="50">
        <f t="shared" si="14"/>
        <v>30955.46668</v>
      </c>
      <c r="T18" s="50">
        <f t="shared" si="14"/>
        <v>32658.01735</v>
      </c>
      <c r="U18" s="20"/>
      <c r="V18" s="20"/>
    </row>
    <row r="19">
      <c r="A19" s="148" t="s">
        <v>5</v>
      </c>
      <c r="B19" s="16">
        <v>0.07400708187071754</v>
      </c>
      <c r="C19" s="16">
        <v>0.06512122311545634</v>
      </c>
      <c r="D19" s="16">
        <v>0.0641798312053668</v>
      </c>
      <c r="E19" s="16">
        <v>0.0697110246123713</v>
      </c>
      <c r="F19" s="16">
        <v>0.07047165266279774</v>
      </c>
      <c r="G19" s="16">
        <v>0.07425409345254073</v>
      </c>
      <c r="H19" s="16">
        <v>0.08066391590605933</v>
      </c>
      <c r="I19" s="16">
        <v>0.07757382726523573</v>
      </c>
      <c r="J19" s="16">
        <v>0.08126492309400855</v>
      </c>
      <c r="K19" s="16">
        <v>0.07833766569255857</v>
      </c>
      <c r="L19" s="16">
        <v>0.05014265085765393</v>
      </c>
      <c r="M19" s="16">
        <f t="shared" ref="M19:T19" si="15">M18/M4</f>
        <v>0.03342963176</v>
      </c>
      <c r="N19" s="133">
        <f t="shared" si="15"/>
        <v>0.04755934626</v>
      </c>
      <c r="O19" s="16">
        <f t="shared" si="15"/>
        <v>0.06078988656</v>
      </c>
      <c r="P19" s="16">
        <f t="shared" si="15"/>
        <v>0.06078988656</v>
      </c>
      <c r="Q19" s="16">
        <f t="shared" si="15"/>
        <v>0.06078988656</v>
      </c>
      <c r="R19" s="16">
        <f t="shared" si="15"/>
        <v>0.06078988656</v>
      </c>
      <c r="S19" s="16">
        <f t="shared" si="15"/>
        <v>0.06078988656</v>
      </c>
      <c r="T19" s="16">
        <f t="shared" si="15"/>
        <v>0.06078988656</v>
      </c>
      <c r="U19" s="16"/>
      <c r="V19" s="16"/>
    </row>
    <row r="20">
      <c r="A20" s="142" t="s">
        <v>12</v>
      </c>
      <c r="B20" s="42">
        <v>-4037.0</v>
      </c>
      <c r="C20" s="42">
        <v>-4363.0</v>
      </c>
      <c r="D20" s="42">
        <v>-4790.0</v>
      </c>
      <c r="E20" s="42">
        <v>-3200.0</v>
      </c>
      <c r="F20" s="42">
        <v>-3562.0</v>
      </c>
      <c r="G20" s="90">
        <v>-3742.0</v>
      </c>
      <c r="H20" s="90">
        <v>-4973.0</v>
      </c>
      <c r="I20" s="90">
        <v>-4578.0</v>
      </c>
      <c r="J20" s="42">
        <v>-4829.0</v>
      </c>
      <c r="K20" s="42">
        <v>-5968.0</v>
      </c>
      <c r="L20" s="48">
        <v>-4829.0</v>
      </c>
      <c r="M20" s="48">
        <f>-1890</f>
        <v>-1890</v>
      </c>
      <c r="N20" s="146">
        <f t="shared" ref="N20:T20" si="16">-N18*N21</f>
        <v>-4880.217324</v>
      </c>
      <c r="O20" s="42">
        <f t="shared" si="16"/>
        <v>-6323.843109</v>
      </c>
      <c r="P20" s="42">
        <f t="shared" si="16"/>
        <v>-6462.881757</v>
      </c>
      <c r="Q20" s="42">
        <f t="shared" si="16"/>
        <v>-6657.972997</v>
      </c>
      <c r="R20" s="42">
        <f t="shared" si="16"/>
        <v>-6913.548721</v>
      </c>
      <c r="S20" s="42">
        <f t="shared" si="16"/>
        <v>-7235.626181</v>
      </c>
      <c r="T20" s="42">
        <f t="shared" si="16"/>
        <v>-7633.585621</v>
      </c>
      <c r="U20" s="42"/>
      <c r="V20" s="42"/>
    </row>
    <row r="21">
      <c r="A21" s="14" t="s">
        <v>90</v>
      </c>
      <c r="B21" s="16">
        <f t="shared" ref="B21:M21" si="17">-B20/B18</f>
        <v>0.4180820215</v>
      </c>
      <c r="C21" s="16">
        <f t="shared" si="17"/>
        <v>0.4264490275</v>
      </c>
      <c r="D21" s="16">
        <f t="shared" si="17"/>
        <v>0.4037764478</v>
      </c>
      <c r="E21" s="16">
        <f t="shared" si="17"/>
        <v>0.2281965343</v>
      </c>
      <c r="F21" s="16">
        <f t="shared" si="17"/>
        <v>0.2234069242</v>
      </c>
      <c r="G21" s="16">
        <f t="shared" si="17"/>
        <v>0.208108559</v>
      </c>
      <c r="H21" s="16">
        <f t="shared" si="17"/>
        <v>0.2397550863</v>
      </c>
      <c r="I21" s="16">
        <f t="shared" si="17"/>
        <v>0.2051994621</v>
      </c>
      <c r="J21" s="16">
        <f t="shared" si="17"/>
        <v>0.1833124549</v>
      </c>
      <c r="K21" s="16">
        <f t="shared" si="17"/>
        <v>0.205001374</v>
      </c>
      <c r="L21" s="16">
        <f t="shared" si="17"/>
        <v>0.2405958846</v>
      </c>
      <c r="M21" s="16">
        <f t="shared" si="17"/>
        <v>0.1263200107</v>
      </c>
      <c r="N21" s="133">
        <f>IFERROR(__xludf.DUMMYFUNCTION("AVERAGE.WEIGHTED(B21:L21,B1:L1)"),0.23374308179355377)</f>
        <v>0.2337430818</v>
      </c>
      <c r="O21" s="16">
        <f t="shared" ref="O21:T21" si="18">N21</f>
        <v>0.2337430818</v>
      </c>
      <c r="P21" s="16">
        <f t="shared" si="18"/>
        <v>0.2337430818</v>
      </c>
      <c r="Q21" s="16">
        <f t="shared" si="18"/>
        <v>0.2337430818</v>
      </c>
      <c r="R21" s="16">
        <f t="shared" si="18"/>
        <v>0.2337430818</v>
      </c>
      <c r="S21" s="16">
        <f t="shared" si="18"/>
        <v>0.2337430818</v>
      </c>
      <c r="T21" s="16">
        <f t="shared" si="18"/>
        <v>0.2337430818</v>
      </c>
      <c r="U21" s="16"/>
      <c r="V21" s="16"/>
    </row>
    <row r="22">
      <c r="A22" s="128" t="s">
        <v>13</v>
      </c>
      <c r="B22" s="52">
        <v>5619.0</v>
      </c>
      <c r="C22" s="52">
        <v>5868.0</v>
      </c>
      <c r="D22" s="52">
        <v>7073.0</v>
      </c>
      <c r="E22" s="52">
        <v>10823.0</v>
      </c>
      <c r="F22" s="52">
        <v>12382.0</v>
      </c>
      <c r="G22" s="52">
        <v>14239.0</v>
      </c>
      <c r="H22" s="52">
        <v>15769.0</v>
      </c>
      <c r="I22" s="52">
        <v>17732.0</v>
      </c>
      <c r="J22" s="52">
        <v>21514.0</v>
      </c>
      <c r="K22" s="52">
        <f t="shared" ref="K22:N22" si="19">K18*(1-K21)</f>
        <v>23144</v>
      </c>
      <c r="L22" s="52">
        <f t="shared" si="19"/>
        <v>15242</v>
      </c>
      <c r="M22" s="52">
        <f t="shared" si="19"/>
        <v>13072</v>
      </c>
      <c r="N22" s="149">
        <f t="shared" si="19"/>
        <v>15998.33569</v>
      </c>
      <c r="O22" s="52">
        <f t="shared" ref="O22:T22" si="20">O18+O20</f>
        <v>20730.83188</v>
      </c>
      <c r="P22" s="52">
        <f t="shared" si="20"/>
        <v>21186.62858</v>
      </c>
      <c r="Q22" s="52">
        <f t="shared" si="20"/>
        <v>21826.17698</v>
      </c>
      <c r="R22" s="52">
        <f t="shared" si="20"/>
        <v>22664.00569</v>
      </c>
      <c r="S22" s="52">
        <f t="shared" si="20"/>
        <v>23719.8405</v>
      </c>
      <c r="T22" s="52">
        <f t="shared" si="20"/>
        <v>25024.43173</v>
      </c>
      <c r="U22" s="10"/>
      <c r="V22" s="10"/>
    </row>
    <row r="23">
      <c r="A23" s="128"/>
      <c r="B23" s="16">
        <v>0.04306605147385686</v>
      </c>
      <c r="C23" s="16">
        <v>0.037350340850503164</v>
      </c>
      <c r="D23" s="16">
        <v>0.038265526942220296</v>
      </c>
      <c r="E23" s="39">
        <v>0.05380321039575659</v>
      </c>
      <c r="F23" s="39">
        <v>0.0547277974956574</v>
      </c>
      <c r="G23" s="16">
        <v>0.05880118106171667</v>
      </c>
      <c r="H23" s="16">
        <v>0.061324331786840686</v>
      </c>
      <c r="I23" s="16">
        <v>0.061655719635462125</v>
      </c>
      <c r="J23" s="16">
        <v>0.06636805054262992</v>
      </c>
      <c r="K23" s="16">
        <v>0.06227833658933002</v>
      </c>
      <c r="L23" s="16">
        <v>0.03589255467450122</v>
      </c>
      <c r="M23" s="68">
        <f t="shared" ref="M23:T23" si="21">M22/M4</f>
        <v>0.02920680032</v>
      </c>
      <c r="N23" s="133">
        <f t="shared" si="21"/>
        <v>0.0364426781</v>
      </c>
      <c r="O23" s="16">
        <f t="shared" si="21"/>
        <v>0.04658067113</v>
      </c>
      <c r="P23" s="16">
        <f t="shared" si="21"/>
        <v>0.04658067113</v>
      </c>
      <c r="Q23" s="16">
        <f t="shared" si="21"/>
        <v>0.04658067113</v>
      </c>
      <c r="R23" s="16">
        <f t="shared" si="21"/>
        <v>0.04658067113</v>
      </c>
      <c r="S23" s="16">
        <f t="shared" si="21"/>
        <v>0.04658067113</v>
      </c>
      <c r="T23" s="16">
        <f t="shared" si="21"/>
        <v>0.04658067113</v>
      </c>
      <c r="U23" s="16"/>
      <c r="V23" s="16"/>
    </row>
    <row r="25">
      <c r="I25" s="150" t="s">
        <v>91</v>
      </c>
    </row>
    <row r="26">
      <c r="N26" s="151"/>
    </row>
    <row r="27">
      <c r="A27" s="91"/>
      <c r="B27" s="152" t="s">
        <v>92</v>
      </c>
      <c r="M27" s="8"/>
      <c r="N27" s="8"/>
      <c r="O27" s="8"/>
      <c r="P27" s="8"/>
      <c r="Q27" s="8"/>
      <c r="R27" s="8"/>
      <c r="S27" s="8"/>
      <c r="T27" s="8"/>
      <c r="U27" s="8"/>
      <c r="V27" s="8"/>
    </row>
    <row r="28">
      <c r="A28" s="91"/>
      <c r="B28" s="153">
        <v>2014.0</v>
      </c>
      <c r="C28" s="153">
        <v>2015.0</v>
      </c>
      <c r="D28" s="153">
        <v>2016.0</v>
      </c>
      <c r="E28" s="153">
        <v>2017.0</v>
      </c>
      <c r="F28" s="153">
        <v>2018.0</v>
      </c>
      <c r="G28" s="153">
        <v>2019.0</v>
      </c>
      <c r="H28" s="153">
        <v>2020.0</v>
      </c>
      <c r="I28" s="153">
        <v>2021.0</v>
      </c>
      <c r="J28" s="153">
        <v>2022.0</v>
      </c>
      <c r="K28" s="153">
        <v>2023.0</v>
      </c>
      <c r="L28" s="153">
        <v>2024.0</v>
      </c>
      <c r="M28" s="153">
        <v>2025.0</v>
      </c>
      <c r="N28" s="154">
        <v>2026.0</v>
      </c>
      <c r="O28" s="154">
        <v>2027.0</v>
      </c>
      <c r="P28" s="154">
        <v>2028.0</v>
      </c>
      <c r="Q28" s="154">
        <v>2029.0</v>
      </c>
      <c r="R28" s="154">
        <v>2030.0</v>
      </c>
      <c r="S28" s="154">
        <v>2031.0</v>
      </c>
      <c r="T28" s="154">
        <v>2032.0</v>
      </c>
      <c r="U28" s="8"/>
      <c r="V28" s="8"/>
    </row>
    <row r="29">
      <c r="A29" s="9" t="s">
        <v>93</v>
      </c>
      <c r="N29" s="3"/>
      <c r="O29" s="3"/>
      <c r="P29" s="3"/>
      <c r="Q29" s="3"/>
      <c r="R29" s="3"/>
      <c r="S29" s="3"/>
      <c r="T29" s="3"/>
      <c r="U29" s="3"/>
      <c r="V29" s="3"/>
    </row>
    <row r="30">
      <c r="A30" s="35" t="s">
        <v>19</v>
      </c>
      <c r="B30" s="155">
        <f>Financials!B33</f>
        <v>4252</v>
      </c>
      <c r="C30" s="155">
        <f>Financials!C33</f>
        <v>6523</v>
      </c>
      <c r="D30" s="155">
        <f>Financials!D33</f>
        <v>8152</v>
      </c>
      <c r="E30" s="155">
        <f>Financials!E33</f>
        <v>9568</v>
      </c>
      <c r="F30" s="155">
        <f>Financials!F33</f>
        <v>11388</v>
      </c>
      <c r="G30" s="155">
        <f>Financials!G33</f>
        <v>11822</v>
      </c>
      <c r="H30" s="156">
        <f>Financials!H33</f>
        <v>12870</v>
      </c>
      <c r="I30" s="156">
        <f>Financials!I33</f>
        <v>14216</v>
      </c>
      <c r="J30" s="156">
        <f>Financials!J33</f>
        <v>17681</v>
      </c>
      <c r="K30" s="155">
        <f>Financials!K33</f>
        <v>21276</v>
      </c>
      <c r="L30" s="155">
        <f>Financials!L33</f>
        <v>22365</v>
      </c>
      <c r="M30" s="157">
        <f>Financials!M33</f>
        <v>23018</v>
      </c>
      <c r="N30" s="157">
        <f>Financials!N33</f>
        <v>22646.50059</v>
      </c>
      <c r="O30" s="157">
        <f>Financials!O33</f>
        <v>22958.71467</v>
      </c>
      <c r="P30" s="157">
        <f>Financials!P33</f>
        <v>23463.49454</v>
      </c>
      <c r="Q30" s="157">
        <f>Financials!Q33</f>
        <v>24171.77335</v>
      </c>
      <c r="R30" s="157">
        <f>Financials!R33</f>
        <v>25099.64111</v>
      </c>
      <c r="S30" s="157">
        <f>Financials!S33</f>
        <v>26268.94345</v>
      </c>
      <c r="T30" s="157">
        <f>Financials!T33</f>
        <v>27713.73534</v>
      </c>
      <c r="U30" s="158"/>
      <c r="V30" s="158"/>
    </row>
    <row r="31">
      <c r="A31" s="35" t="s">
        <v>21</v>
      </c>
      <c r="B31" s="155">
        <f>Financials!B35</f>
        <v>5498</v>
      </c>
      <c r="C31" s="155">
        <f>Financials!C35</f>
        <v>6801</v>
      </c>
      <c r="D31" s="155">
        <f>Financials!D35</f>
        <v>7499</v>
      </c>
      <c r="E31" s="155">
        <f>Financials!E35</f>
        <v>6262</v>
      </c>
      <c r="F31" s="155">
        <f>Financials!F35</f>
        <v>6862</v>
      </c>
      <c r="G31" s="155">
        <f>Financials!G35</f>
        <v>9640</v>
      </c>
      <c r="H31" s="156">
        <f>Financials!H35</f>
        <v>12534</v>
      </c>
      <c r="I31" s="156">
        <f>Financials!I35</f>
        <v>13866</v>
      </c>
      <c r="J31" s="156">
        <f>Financials!J35</f>
        <v>12769</v>
      </c>
      <c r="K31" s="155">
        <f>Financials!K35</f>
        <v>17694</v>
      </c>
      <c r="L31" s="155">
        <f>Financials!L35</f>
        <v>26089</v>
      </c>
      <c r="M31" s="157">
        <f>Financials!M35</f>
        <v>29697</v>
      </c>
      <c r="N31" s="157">
        <f>Financials!N35</f>
        <v>29128.56176</v>
      </c>
      <c r="O31" s="157">
        <f>Financials!O35</f>
        <v>29530.14024</v>
      </c>
      <c r="P31" s="157">
        <f>Financials!P35</f>
        <v>30179.4022</v>
      </c>
      <c r="Q31" s="157">
        <f>Financials!Q35</f>
        <v>31090.4102</v>
      </c>
      <c r="R31" s="157">
        <f>Financials!R35</f>
        <v>32283.85964</v>
      </c>
      <c r="S31" s="157">
        <f>Financials!S35</f>
        <v>33787.84897</v>
      </c>
      <c r="T31" s="157">
        <f>Financials!T35</f>
        <v>35646.18066</v>
      </c>
      <c r="U31" s="158"/>
      <c r="V31" s="158"/>
    </row>
    <row r="32">
      <c r="A32" s="35" t="s">
        <v>26</v>
      </c>
      <c r="B32" s="155">
        <f>Financials!B39</f>
        <v>1052</v>
      </c>
      <c r="C32" s="155">
        <f>Financials!C39</f>
        <v>1546</v>
      </c>
      <c r="D32" s="155">
        <f>Financials!D39</f>
        <v>1848</v>
      </c>
      <c r="E32" s="155">
        <f>Financials!E39</f>
        <v>2663</v>
      </c>
      <c r="F32" s="155">
        <f>Financials!F39</f>
        <v>3086</v>
      </c>
      <c r="G32" s="155">
        <f>Financials!G39</f>
        <v>3851</v>
      </c>
      <c r="H32" s="156">
        <f>Financials!H39</f>
        <v>4457</v>
      </c>
      <c r="I32" s="156">
        <f>Financials!I39</f>
        <v>5320</v>
      </c>
      <c r="J32" s="156">
        <f>Financials!J39</f>
        <v>6621</v>
      </c>
      <c r="K32" s="155">
        <f>Financials!K39</f>
        <v>6084</v>
      </c>
      <c r="L32" s="155">
        <f>Financials!L39</f>
        <v>8212</v>
      </c>
      <c r="M32" s="157">
        <f>Financials!M39</f>
        <v>9746</v>
      </c>
      <c r="N32" s="157">
        <f>Financials!N39</f>
        <v>7756.468056</v>
      </c>
      <c r="O32" s="157">
        <f>Financials!O39</f>
        <v>7863.401955</v>
      </c>
      <c r="P32" s="157">
        <f>Financials!P39</f>
        <v>8036.289985</v>
      </c>
      <c r="Q32" s="157">
        <f>Financials!Q39</f>
        <v>8278.876781</v>
      </c>
      <c r="R32" s="157">
        <f>Financials!R39</f>
        <v>8596.673192</v>
      </c>
      <c r="S32" s="157">
        <f>Financials!S39</f>
        <v>8997.16139</v>
      </c>
      <c r="T32" s="157">
        <f>Financials!T39</f>
        <v>9492.005266</v>
      </c>
      <c r="U32" s="158"/>
      <c r="V32" s="158"/>
    </row>
    <row r="33">
      <c r="A33" s="9" t="s">
        <v>94</v>
      </c>
      <c r="B33" s="26">
        <f t="shared" ref="B33:T33" si="22">SUM(B30:B32)</f>
        <v>10802</v>
      </c>
      <c r="C33" s="26">
        <f t="shared" si="22"/>
        <v>14870</v>
      </c>
      <c r="D33" s="26">
        <f t="shared" si="22"/>
        <v>17499</v>
      </c>
      <c r="E33" s="26">
        <f t="shared" si="22"/>
        <v>18493</v>
      </c>
      <c r="F33" s="26">
        <f t="shared" si="22"/>
        <v>21336</v>
      </c>
      <c r="G33" s="26">
        <f t="shared" si="22"/>
        <v>25313</v>
      </c>
      <c r="H33" s="26">
        <f t="shared" si="22"/>
        <v>29861</v>
      </c>
      <c r="I33" s="26">
        <f t="shared" si="22"/>
        <v>33402</v>
      </c>
      <c r="J33" s="26">
        <f t="shared" si="22"/>
        <v>37071</v>
      </c>
      <c r="K33" s="26">
        <f t="shared" si="22"/>
        <v>45054</v>
      </c>
      <c r="L33" s="26">
        <f t="shared" si="22"/>
        <v>56666</v>
      </c>
      <c r="M33" s="26">
        <f t="shared" si="22"/>
        <v>62461</v>
      </c>
      <c r="N33" s="26">
        <f t="shared" si="22"/>
        <v>59531.5304</v>
      </c>
      <c r="O33" s="26">
        <f t="shared" si="22"/>
        <v>60352.25687</v>
      </c>
      <c r="P33" s="26">
        <f t="shared" si="22"/>
        <v>61679.18672</v>
      </c>
      <c r="Q33" s="26">
        <f t="shared" si="22"/>
        <v>63541.06034</v>
      </c>
      <c r="R33" s="26">
        <f t="shared" si="22"/>
        <v>65980.17394</v>
      </c>
      <c r="S33" s="26">
        <f t="shared" si="22"/>
        <v>69053.9538</v>
      </c>
      <c r="T33" s="26">
        <f t="shared" si="22"/>
        <v>72851.92126</v>
      </c>
      <c r="U33" s="159"/>
      <c r="V33" s="159"/>
    </row>
    <row r="34">
      <c r="A34" s="160" t="s">
        <v>95</v>
      </c>
      <c r="M34" s="158"/>
      <c r="N34" s="158"/>
      <c r="O34" s="158"/>
      <c r="P34" s="158"/>
      <c r="Q34" s="158"/>
      <c r="R34" s="158"/>
      <c r="S34" s="158"/>
      <c r="T34" s="158"/>
      <c r="U34" s="158"/>
      <c r="V34" s="158"/>
    </row>
    <row r="35">
      <c r="A35" s="91" t="str">
        <f>Financials!A56</f>
        <v>Medical costs payable</v>
      </c>
      <c r="B35" s="155">
        <f>Financials!B56</f>
        <v>14330</v>
      </c>
      <c r="C35" s="155">
        <f>Financials!C56</f>
        <v>14330</v>
      </c>
      <c r="D35" s="155">
        <f>Financials!D56</f>
        <v>16391</v>
      </c>
      <c r="E35" s="155">
        <f>Financials!E56</f>
        <v>17871</v>
      </c>
      <c r="F35" s="155">
        <f>Financials!F56</f>
        <v>19891</v>
      </c>
      <c r="G35" s="155">
        <f>Financials!G56</f>
        <v>21690</v>
      </c>
      <c r="H35" s="156">
        <f>Financials!H56</f>
        <v>21872</v>
      </c>
      <c r="I35" s="156">
        <f>Financials!I56</f>
        <v>24483</v>
      </c>
      <c r="J35" s="156">
        <f>Financials!J56</f>
        <v>29056</v>
      </c>
      <c r="K35" s="155">
        <f>Financials!K56</f>
        <v>32395</v>
      </c>
      <c r="L35" s="155">
        <f>Financials!L56</f>
        <v>34224</v>
      </c>
      <c r="M35" s="157">
        <f>Financials!M56</f>
        <v>39337</v>
      </c>
      <c r="N35" s="157">
        <f>Financials!N56</f>
        <v>39059.71435</v>
      </c>
      <c r="O35" s="157">
        <f>Financials!O56</f>
        <v>39037.51347</v>
      </c>
      <c r="P35" s="157">
        <f>Financials!P56</f>
        <v>39895.8085</v>
      </c>
      <c r="Q35" s="157">
        <f>Financials!Q56</f>
        <v>41100.11999</v>
      </c>
      <c r="R35" s="157">
        <f>Financials!R56</f>
        <v>42677.80631</v>
      </c>
      <c r="S35" s="157">
        <f>Financials!S56</f>
        <v>44666.01237</v>
      </c>
      <c r="T35" s="157">
        <f>Financials!T56</f>
        <v>47122.64305</v>
      </c>
      <c r="U35" s="158"/>
      <c r="V35" s="158"/>
    </row>
    <row r="36">
      <c r="A36" s="91" t="str">
        <f>Financials!A58</f>
        <v>Accounts payable and accrued liabilities</v>
      </c>
      <c r="B36" s="155">
        <f>Financials!B58</f>
        <v>11994</v>
      </c>
      <c r="C36" s="155">
        <f>Financials!C58</f>
        <v>11994</v>
      </c>
      <c r="D36" s="155">
        <f>Financials!D58</f>
        <v>13361</v>
      </c>
      <c r="E36" s="155">
        <f>Financials!E58</f>
        <v>15180</v>
      </c>
      <c r="F36" s="155">
        <f>Financials!F58</f>
        <v>16705</v>
      </c>
      <c r="G36" s="155">
        <f>Financials!G58</f>
        <v>19005</v>
      </c>
      <c r="H36" s="156">
        <f>Financials!H58</f>
        <v>22495</v>
      </c>
      <c r="I36" s="156">
        <f>Financials!I58</f>
        <v>24643</v>
      </c>
      <c r="J36" s="156">
        <f>Financials!J58</f>
        <v>27715</v>
      </c>
      <c r="K36" s="155">
        <f>Financials!K58</f>
        <v>31958</v>
      </c>
      <c r="L36" s="155">
        <f>Financials!L58</f>
        <v>34337</v>
      </c>
      <c r="M36" s="157">
        <f>Financials!M58</f>
        <v>38032</v>
      </c>
      <c r="N36" s="157">
        <f>Financials!N58</f>
        <v>37145.91185</v>
      </c>
      <c r="O36" s="157">
        <f>Financials!O58</f>
        <v>37124.79874</v>
      </c>
      <c r="P36" s="157">
        <f>Financials!P58</f>
        <v>37941.04002</v>
      </c>
      <c r="Q36" s="157">
        <f>Financials!Q58</f>
        <v>39086.34406</v>
      </c>
      <c r="R36" s="157">
        <f>Financials!R58</f>
        <v>40586.72874</v>
      </c>
      <c r="S36" s="157">
        <f>Financials!S58</f>
        <v>42477.51898</v>
      </c>
      <c r="T36" s="157">
        <f>Financials!T58</f>
        <v>44813.78253</v>
      </c>
      <c r="U36" s="158"/>
      <c r="V36" s="158"/>
    </row>
    <row r="37">
      <c r="A37" s="91" t="str">
        <f>Financials!A63</f>
        <v>Other current liabilities</v>
      </c>
      <c r="B37" s="161">
        <v>5965.0</v>
      </c>
      <c r="C37" s="161">
        <v>7798.0</v>
      </c>
      <c r="D37" s="156">
        <f>Financials!D63</f>
        <v>10339</v>
      </c>
      <c r="E37" s="156">
        <f>Financials!E63</f>
        <v>12286</v>
      </c>
      <c r="F37" s="156">
        <f>Financials!F63</f>
        <v>12244</v>
      </c>
      <c r="G37" s="156">
        <f>Financials!G63</f>
        <v>14595</v>
      </c>
      <c r="H37" s="156">
        <f>Financials!H63</f>
        <v>20392</v>
      </c>
      <c r="I37" s="156">
        <f>Financials!I63</f>
        <v>22975</v>
      </c>
      <c r="J37" s="156">
        <f>Financials!J63</f>
        <v>26281</v>
      </c>
      <c r="K37" s="156">
        <f>Financials!K63</f>
        <v>27072</v>
      </c>
      <c r="L37" s="156">
        <f>Financials!L63</f>
        <v>27346</v>
      </c>
      <c r="M37" s="157">
        <f>Financials!M63</f>
        <v>28046</v>
      </c>
      <c r="N37" s="157">
        <f>Financials!N63</f>
        <v>30083.42525</v>
      </c>
      <c r="O37" s="157">
        <f>Financials!O63</f>
        <v>30498.16787</v>
      </c>
      <c r="P37" s="157">
        <f>Financials!P63</f>
        <v>31168.71329</v>
      </c>
      <c r="Q37" s="157">
        <f>Financials!Q63</f>
        <v>32109.58505</v>
      </c>
      <c r="R37" s="157">
        <f>Financials!R63</f>
        <v>33342.15696</v>
      </c>
      <c r="S37" s="157">
        <f>Financials!S63</f>
        <v>34895.44857</v>
      </c>
      <c r="T37" s="157">
        <f>Financials!T63</f>
        <v>36814.69824</v>
      </c>
      <c r="U37" s="158"/>
      <c r="V37" s="158"/>
    </row>
    <row r="38">
      <c r="A38" s="91" t="str">
        <f>Financials!A61</f>
        <v>Unearned revenues</v>
      </c>
      <c r="B38" s="156">
        <f>Financials!B61</f>
        <v>2142</v>
      </c>
      <c r="C38" s="156">
        <f>Financials!C61</f>
        <v>2142</v>
      </c>
      <c r="D38" s="156">
        <f>Financials!D61</f>
        <v>1968</v>
      </c>
      <c r="E38" s="156">
        <f>Financials!E61</f>
        <v>2269</v>
      </c>
      <c r="F38" s="156">
        <f>Financials!F61</f>
        <v>2396</v>
      </c>
      <c r="G38" s="156">
        <f>Financials!G61</f>
        <v>2622</v>
      </c>
      <c r="H38" s="156">
        <f>Financials!H61</f>
        <v>2842</v>
      </c>
      <c r="I38" s="156">
        <f>Financials!I61</f>
        <v>2571</v>
      </c>
      <c r="J38" s="156">
        <f>Financials!J61</f>
        <v>3075</v>
      </c>
      <c r="K38" s="156">
        <f>Financials!K61</f>
        <v>3355</v>
      </c>
      <c r="L38" s="156">
        <f>Financials!L61</f>
        <v>3317</v>
      </c>
      <c r="M38" s="157">
        <f>Financials!M61</f>
        <v>3413</v>
      </c>
      <c r="N38" s="157">
        <f>Financials!N61</f>
        <v>3512</v>
      </c>
      <c r="O38" s="157">
        <f>Financials!O61</f>
        <v>3560.417895</v>
      </c>
      <c r="P38" s="157">
        <f>Financials!P61</f>
        <v>3638.698725</v>
      </c>
      <c r="Q38" s="157">
        <f>Financials!Q61</f>
        <v>3748.538</v>
      </c>
      <c r="R38" s="157">
        <f>Financials!R61</f>
        <v>3892.430941</v>
      </c>
      <c r="S38" s="157">
        <f>Financials!S61</f>
        <v>4073.76535</v>
      </c>
      <c r="T38" s="157">
        <f>Financials!T61</f>
        <v>4297.822444</v>
      </c>
      <c r="U38" s="158"/>
      <c r="V38" s="158"/>
    </row>
    <row r="39">
      <c r="A39" s="160" t="s">
        <v>96</v>
      </c>
      <c r="B39" s="162">
        <f t="shared" ref="B39:T39" si="23">SUM(B35:B38)</f>
        <v>34431</v>
      </c>
      <c r="C39" s="162">
        <f t="shared" si="23"/>
        <v>36264</v>
      </c>
      <c r="D39" s="162">
        <f t="shared" si="23"/>
        <v>42059</v>
      </c>
      <c r="E39" s="162">
        <f t="shared" si="23"/>
        <v>47606</v>
      </c>
      <c r="F39" s="162">
        <f t="shared" si="23"/>
        <v>51236</v>
      </c>
      <c r="G39" s="162">
        <f t="shared" si="23"/>
        <v>57912</v>
      </c>
      <c r="H39" s="162">
        <f t="shared" si="23"/>
        <v>67601</v>
      </c>
      <c r="I39" s="162">
        <f t="shared" si="23"/>
        <v>74672</v>
      </c>
      <c r="J39" s="162">
        <f t="shared" si="23"/>
        <v>86127</v>
      </c>
      <c r="K39" s="162">
        <f t="shared" si="23"/>
        <v>94780</v>
      </c>
      <c r="L39" s="162">
        <f t="shared" si="23"/>
        <v>99224</v>
      </c>
      <c r="M39" s="163">
        <f t="shared" si="23"/>
        <v>108828</v>
      </c>
      <c r="N39" s="163">
        <f t="shared" si="23"/>
        <v>109801.0514</v>
      </c>
      <c r="O39" s="163">
        <f t="shared" si="23"/>
        <v>110220.898</v>
      </c>
      <c r="P39" s="163">
        <f t="shared" si="23"/>
        <v>112644.2605</v>
      </c>
      <c r="Q39" s="163">
        <f t="shared" si="23"/>
        <v>116044.5871</v>
      </c>
      <c r="R39" s="163">
        <f t="shared" si="23"/>
        <v>120499.1229</v>
      </c>
      <c r="S39" s="163">
        <f t="shared" si="23"/>
        <v>126112.7453</v>
      </c>
      <c r="T39" s="163">
        <f t="shared" si="23"/>
        <v>133048.9463</v>
      </c>
      <c r="U39" s="164"/>
      <c r="V39" s="164"/>
    </row>
    <row r="40">
      <c r="A40" s="160" t="s">
        <v>97</v>
      </c>
      <c r="B40" s="162">
        <f t="shared" ref="B40:T40" si="24">B33-B39</f>
        <v>-23629</v>
      </c>
      <c r="C40" s="162">
        <f t="shared" si="24"/>
        <v>-21394</v>
      </c>
      <c r="D40" s="162">
        <f t="shared" si="24"/>
        <v>-24560</v>
      </c>
      <c r="E40" s="162">
        <f t="shared" si="24"/>
        <v>-29113</v>
      </c>
      <c r="F40" s="162">
        <f t="shared" si="24"/>
        <v>-29900</v>
      </c>
      <c r="G40" s="162">
        <f t="shared" si="24"/>
        <v>-32599</v>
      </c>
      <c r="H40" s="162">
        <f t="shared" si="24"/>
        <v>-37740</v>
      </c>
      <c r="I40" s="162">
        <f t="shared" si="24"/>
        <v>-41270</v>
      </c>
      <c r="J40" s="162">
        <f t="shared" si="24"/>
        <v>-49056</v>
      </c>
      <c r="K40" s="162">
        <f t="shared" si="24"/>
        <v>-49726</v>
      </c>
      <c r="L40" s="162">
        <f t="shared" si="24"/>
        <v>-42558</v>
      </c>
      <c r="M40" s="163">
        <f t="shared" si="24"/>
        <v>-46367</v>
      </c>
      <c r="N40" s="163">
        <f t="shared" si="24"/>
        <v>-50269.52105</v>
      </c>
      <c r="O40" s="163">
        <f t="shared" si="24"/>
        <v>-49868.64111</v>
      </c>
      <c r="P40" s="163">
        <f t="shared" si="24"/>
        <v>-50965.07382</v>
      </c>
      <c r="Q40" s="163">
        <f t="shared" si="24"/>
        <v>-52503.52676</v>
      </c>
      <c r="R40" s="163">
        <f t="shared" si="24"/>
        <v>-54518.949</v>
      </c>
      <c r="S40" s="163">
        <f t="shared" si="24"/>
        <v>-57058.79147</v>
      </c>
      <c r="T40" s="163">
        <f t="shared" si="24"/>
        <v>-60197.025</v>
      </c>
      <c r="U40" s="164"/>
      <c r="V40" s="164"/>
      <c r="W40" s="164"/>
    </row>
    <row r="41">
      <c r="A41" s="15" t="s">
        <v>98</v>
      </c>
      <c r="C41" s="165">
        <f t="shared" ref="C41:T41" si="25">C40-B40</f>
        <v>2235</v>
      </c>
      <c r="D41" s="165">
        <f t="shared" si="25"/>
        <v>-3166</v>
      </c>
      <c r="E41" s="165">
        <f t="shared" si="25"/>
        <v>-4553</v>
      </c>
      <c r="F41" s="165">
        <f t="shared" si="25"/>
        <v>-787</v>
      </c>
      <c r="G41" s="165">
        <f t="shared" si="25"/>
        <v>-2699</v>
      </c>
      <c r="H41" s="165">
        <f t="shared" si="25"/>
        <v>-5141</v>
      </c>
      <c r="I41" s="165">
        <f t="shared" si="25"/>
        <v>-3530</v>
      </c>
      <c r="J41" s="165">
        <f t="shared" si="25"/>
        <v>-7786</v>
      </c>
      <c r="K41" s="165">
        <f t="shared" si="25"/>
        <v>-670</v>
      </c>
      <c r="L41" s="165">
        <f t="shared" si="25"/>
        <v>7168</v>
      </c>
      <c r="M41" s="166">
        <f t="shared" si="25"/>
        <v>-3809</v>
      </c>
      <c r="N41" s="166">
        <f t="shared" si="25"/>
        <v>-3902.521045</v>
      </c>
      <c r="O41" s="166">
        <f t="shared" si="25"/>
        <v>400.8799381</v>
      </c>
      <c r="P41" s="166">
        <f t="shared" si="25"/>
        <v>-1096.432711</v>
      </c>
      <c r="Q41" s="166">
        <f t="shared" si="25"/>
        <v>-1538.452942</v>
      </c>
      <c r="R41" s="166">
        <f t="shared" si="25"/>
        <v>-2015.422243</v>
      </c>
      <c r="S41" s="166">
        <f t="shared" si="25"/>
        <v>-2539.842462</v>
      </c>
      <c r="T41" s="166">
        <f t="shared" si="25"/>
        <v>-3138.233531</v>
      </c>
      <c r="U41" s="158"/>
      <c r="V41" s="158"/>
    </row>
    <row r="42">
      <c r="A42" s="53" t="s">
        <v>99</v>
      </c>
      <c r="B42" s="11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8"/>
      <c r="O42" s="168"/>
      <c r="P42" s="168"/>
      <c r="Q42" s="168"/>
      <c r="R42" s="168"/>
      <c r="S42" s="168"/>
      <c r="T42" s="168"/>
      <c r="U42" s="168"/>
      <c r="V42" s="168"/>
    </row>
    <row r="43">
      <c r="N43" s="155"/>
      <c r="O43" s="155"/>
      <c r="P43" s="155"/>
      <c r="Q43" s="155"/>
      <c r="R43" s="155"/>
      <c r="S43" s="155"/>
      <c r="T43" s="155"/>
      <c r="U43" s="155"/>
      <c r="V43" s="155"/>
    </row>
    <row r="45">
      <c r="B45" s="153">
        <v>2014.0</v>
      </c>
      <c r="C45" s="153">
        <v>2015.0</v>
      </c>
      <c r="D45" s="153">
        <v>2016.0</v>
      </c>
      <c r="E45" s="153">
        <v>2017.0</v>
      </c>
      <c r="F45" s="153">
        <v>2018.0</v>
      </c>
      <c r="G45" s="153">
        <v>2019.0</v>
      </c>
      <c r="H45" s="153">
        <v>2020.0</v>
      </c>
      <c r="I45" s="153">
        <v>2021.0</v>
      </c>
      <c r="J45" s="153">
        <v>2022.0</v>
      </c>
      <c r="K45" s="153">
        <v>2023.0</v>
      </c>
      <c r="L45" s="153">
        <v>2024.0</v>
      </c>
      <c r="M45" s="153">
        <v>2025.0</v>
      </c>
      <c r="N45" s="8"/>
      <c r="O45" s="8"/>
      <c r="P45" s="8"/>
      <c r="Q45" s="8"/>
      <c r="R45" s="8"/>
      <c r="S45" s="8"/>
      <c r="T45" s="8"/>
    </row>
    <row r="46">
      <c r="A46" s="121" t="s">
        <v>100</v>
      </c>
      <c r="B46" s="155">
        <f>Financials!B29</f>
        <v>7495</v>
      </c>
      <c r="C46" s="155">
        <f>Financials!C29</f>
        <v>10923</v>
      </c>
      <c r="D46" s="155">
        <f>Financials!D29</f>
        <v>10430</v>
      </c>
      <c r="E46" s="155">
        <f>Financials!E29</f>
        <v>11981</v>
      </c>
      <c r="F46" s="155">
        <f>Financials!F29</f>
        <v>10866</v>
      </c>
      <c r="G46" s="155">
        <f>Financials!G29</f>
        <v>10985</v>
      </c>
      <c r="H46" s="156">
        <f>Financials!H29</f>
        <v>16921</v>
      </c>
      <c r="I46" s="156">
        <f>Financials!I29</f>
        <v>21375</v>
      </c>
      <c r="J46" s="156">
        <f>Financials!J29</f>
        <v>23365</v>
      </c>
      <c r="K46" s="155">
        <f>Financials!K29</f>
        <v>25427</v>
      </c>
      <c r="L46" s="155">
        <f>Financials!L29</f>
        <v>25312</v>
      </c>
      <c r="M46" s="161">
        <v>24365.0</v>
      </c>
      <c r="N46" s="169"/>
      <c r="O46" s="169"/>
      <c r="P46" s="169"/>
      <c r="Q46" s="169"/>
      <c r="R46" s="169"/>
      <c r="S46" s="169"/>
      <c r="T46" s="169"/>
    </row>
    <row r="47">
      <c r="A47" s="121" t="s">
        <v>101</v>
      </c>
      <c r="B47" s="155">
        <f t="shared" ref="B47:M47" si="26">B40</f>
        <v>-23629</v>
      </c>
      <c r="C47" s="155">
        <f t="shared" si="26"/>
        <v>-21394</v>
      </c>
      <c r="D47" s="155">
        <f t="shared" si="26"/>
        <v>-24560</v>
      </c>
      <c r="E47" s="155">
        <f t="shared" si="26"/>
        <v>-29113</v>
      </c>
      <c r="F47" s="155">
        <f t="shared" si="26"/>
        <v>-29900</v>
      </c>
      <c r="G47" s="155">
        <f t="shared" si="26"/>
        <v>-32599</v>
      </c>
      <c r="H47" s="155">
        <f t="shared" si="26"/>
        <v>-37740</v>
      </c>
      <c r="I47" s="155">
        <f t="shared" si="26"/>
        <v>-41270</v>
      </c>
      <c r="J47" s="155">
        <f t="shared" si="26"/>
        <v>-49056</v>
      </c>
      <c r="K47" s="155">
        <f t="shared" si="26"/>
        <v>-49726</v>
      </c>
      <c r="L47" s="155">
        <f t="shared" si="26"/>
        <v>-42558</v>
      </c>
      <c r="M47" s="155">
        <f t="shared" si="26"/>
        <v>-46367</v>
      </c>
      <c r="N47" s="169"/>
      <c r="O47" s="169"/>
      <c r="P47" s="169"/>
      <c r="Q47" s="169"/>
      <c r="R47" s="169"/>
      <c r="S47" s="169"/>
      <c r="T47" s="169"/>
    </row>
    <row r="48">
      <c r="A48" s="121" t="s">
        <v>102</v>
      </c>
      <c r="B48" s="155">
        <f>Financials!B45+Financials!B43+Financials!B47+Financials!B49</f>
        <v>43999</v>
      </c>
      <c r="C48" s="155">
        <f>Financials!C45+Financials!C43+Financials!C47+Financials!C49</f>
        <v>60952</v>
      </c>
      <c r="D48" s="155">
        <f>Financials!D45+Financials!D43+Financials!D47+Financials!D49</f>
        <v>65063</v>
      </c>
      <c r="E48" s="155">
        <f>Financials!E45+Financials!E43+Financials!E47+Financials!E49</f>
        <v>73633</v>
      </c>
      <c r="F48" s="155">
        <f>Financials!F45+Financials!F43+Financials!F47+Financials!F49</f>
        <v>81019</v>
      </c>
      <c r="G48" s="155">
        <f>Financials!G45+Financials!G43+Financials!G47+Financials!G49</f>
        <v>94046</v>
      </c>
      <c r="H48" s="156">
        <f>Financials!H45+Financials!H43+Financials!H47+Financials!H49</f>
        <v>102329</v>
      </c>
      <c r="I48" s="156">
        <f>Financials!I45+Financials!I43+Financials!I47+Financials!I49</f>
        <v>107334</v>
      </c>
      <c r="J48" s="156">
        <f>Financials!J45+Financials!J43+Financials!J47+Financials!J49</f>
        <v>132908</v>
      </c>
      <c r="K48" s="155">
        <f>Financials!K45+Financials!K43+Financials!K47+Financials!K49</f>
        <v>147674</v>
      </c>
      <c r="L48" s="155">
        <f>Financials!L45+Financials!L43+Financials!L47+Financials!L49</f>
        <v>160145</v>
      </c>
      <c r="M48" s="156">
        <f>Financials!M45+Financials!M43+Financials!M47+Financials!M49</f>
        <v>164748</v>
      </c>
      <c r="N48" s="169"/>
      <c r="O48" s="169"/>
      <c r="P48" s="169"/>
      <c r="Q48" s="169"/>
      <c r="R48" s="169"/>
      <c r="S48" s="169"/>
      <c r="T48" s="169"/>
    </row>
    <row r="49">
      <c r="A49" s="121" t="s">
        <v>103</v>
      </c>
      <c r="B49" s="155">
        <f t="shared" ref="B49:M49" si="27">B46+B47+B48</f>
        <v>27865</v>
      </c>
      <c r="C49" s="155">
        <f t="shared" si="27"/>
        <v>50481</v>
      </c>
      <c r="D49" s="155">
        <f t="shared" si="27"/>
        <v>50933</v>
      </c>
      <c r="E49" s="155">
        <f t="shared" si="27"/>
        <v>56501</v>
      </c>
      <c r="F49" s="155">
        <f t="shared" si="27"/>
        <v>61985</v>
      </c>
      <c r="G49" s="155">
        <f t="shared" si="27"/>
        <v>72432</v>
      </c>
      <c r="H49" s="156">
        <f t="shared" si="27"/>
        <v>81510</v>
      </c>
      <c r="I49" s="156">
        <f t="shared" si="27"/>
        <v>87439</v>
      </c>
      <c r="J49" s="156">
        <f t="shared" si="27"/>
        <v>107217</v>
      </c>
      <c r="K49" s="155">
        <f t="shared" si="27"/>
        <v>123375</v>
      </c>
      <c r="L49" s="155">
        <f t="shared" si="27"/>
        <v>142899</v>
      </c>
      <c r="M49" s="156">
        <f t="shared" si="27"/>
        <v>142746</v>
      </c>
      <c r="N49" s="169"/>
      <c r="O49" s="169"/>
      <c r="P49" s="169"/>
      <c r="Q49" s="169"/>
      <c r="R49" s="169"/>
      <c r="S49" s="169"/>
      <c r="T49" s="169"/>
    </row>
    <row r="50">
      <c r="A50" s="114" t="s">
        <v>104</v>
      </c>
      <c r="B50" s="170">
        <f t="shared" ref="B50:M50" si="28">B22/B49</f>
        <v>0.2016508164</v>
      </c>
      <c r="C50" s="170">
        <f t="shared" si="28"/>
        <v>0.1162417543</v>
      </c>
      <c r="D50" s="170">
        <f t="shared" si="28"/>
        <v>0.1388687099</v>
      </c>
      <c r="E50" s="170">
        <f t="shared" si="28"/>
        <v>0.1915541318</v>
      </c>
      <c r="F50" s="170">
        <f t="shared" si="28"/>
        <v>0.199758006</v>
      </c>
      <c r="G50" s="170">
        <f t="shared" si="28"/>
        <v>0.1965843826</v>
      </c>
      <c r="H50" s="170">
        <f t="shared" si="28"/>
        <v>0.193460925</v>
      </c>
      <c r="I50" s="170">
        <f t="shared" si="28"/>
        <v>0.2027928041</v>
      </c>
      <c r="J50" s="170">
        <f t="shared" si="28"/>
        <v>0.2006584777</v>
      </c>
      <c r="K50" s="170">
        <f t="shared" si="28"/>
        <v>0.1875906788</v>
      </c>
      <c r="L50" s="170">
        <f t="shared" si="28"/>
        <v>0.1066627478</v>
      </c>
      <c r="M50" s="170">
        <f t="shared" si="28"/>
        <v>0.09157524554</v>
      </c>
    </row>
    <row r="5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9"/>
      <c r="O54" s="19"/>
      <c r="P54" s="19"/>
      <c r="Q54" s="19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9"/>
      <c r="O55" s="19"/>
      <c r="P55" s="19"/>
      <c r="Q55" s="19"/>
    </row>
    <row r="56">
      <c r="A56" s="171" t="s">
        <v>105</v>
      </c>
      <c r="B56" s="172"/>
      <c r="C56" s="171"/>
      <c r="D56" s="171"/>
      <c r="E56" s="1"/>
      <c r="F56" s="1"/>
      <c r="G56" s="1"/>
      <c r="H56" s="1"/>
      <c r="I56" s="1"/>
      <c r="J56" s="1"/>
      <c r="K56" s="1"/>
      <c r="L56" s="1"/>
      <c r="M56" s="1"/>
      <c r="N56" s="19"/>
      <c r="O56" s="19"/>
      <c r="P56" s="19"/>
      <c r="Q56" s="19"/>
    </row>
    <row r="57">
      <c r="A57" s="171" t="s">
        <v>106</v>
      </c>
      <c r="B57" s="172"/>
      <c r="C57" s="171"/>
      <c r="D57" s="171"/>
      <c r="E57" s="1"/>
      <c r="F57" s="1"/>
      <c r="G57" s="1"/>
      <c r="H57" s="1"/>
      <c r="I57" s="1"/>
      <c r="J57" s="1"/>
      <c r="K57" s="1"/>
      <c r="L57" s="1"/>
      <c r="M57" s="1"/>
      <c r="N57" s="19"/>
      <c r="O57" s="19"/>
      <c r="P57" s="19"/>
      <c r="Q57" s="19"/>
    </row>
    <row r="58">
      <c r="A58" s="171" t="s">
        <v>107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9"/>
      <c r="O58" s="19"/>
      <c r="P58" s="19"/>
      <c r="Q58" s="19"/>
    </row>
    <row r="59">
      <c r="A59" s="171" t="s">
        <v>108</v>
      </c>
      <c r="B59" s="172"/>
      <c r="C59" s="171"/>
      <c r="D59" s="171"/>
      <c r="E59" s="1"/>
      <c r="F59" s="1"/>
      <c r="G59" s="1"/>
      <c r="H59" s="1"/>
      <c r="I59" s="1"/>
      <c r="J59" s="1"/>
      <c r="K59" s="1"/>
      <c r="L59" s="1"/>
      <c r="M59" s="1"/>
      <c r="N59" s="19"/>
      <c r="O59" s="19"/>
      <c r="P59" s="19"/>
      <c r="Q59" s="19"/>
    </row>
    <row r="60">
      <c r="A60" s="171" t="s">
        <v>109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"/>
      <c r="O60" s="19"/>
      <c r="P60" s="19"/>
      <c r="Q60" s="19"/>
    </row>
    <row r="61">
      <c r="A61" s="171" t="s">
        <v>110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9"/>
      <c r="O61" s="19"/>
      <c r="P61" s="19"/>
      <c r="Q61" s="19"/>
    </row>
    <row r="62">
      <c r="A62" s="171" t="s">
        <v>111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9"/>
      <c r="O62" s="19"/>
      <c r="P62" s="19"/>
      <c r="Q62" s="19"/>
    </row>
    <row r="63">
      <c r="A63" s="171" t="s">
        <v>112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9"/>
      <c r="O63" s="19"/>
      <c r="P63" s="19"/>
      <c r="Q63" s="19"/>
    </row>
    <row r="6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9"/>
      <c r="O64" s="19"/>
      <c r="P64" s="19"/>
      <c r="Q64" s="19"/>
    </row>
    <row r="6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9"/>
      <c r="O65" s="19"/>
      <c r="P65" s="19"/>
      <c r="Q65" s="19"/>
    </row>
    <row r="66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9"/>
      <c r="O66" s="19"/>
      <c r="P66" s="19"/>
      <c r="Q66" s="19"/>
    </row>
    <row r="67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9"/>
      <c r="O67" s="19"/>
      <c r="P67" s="19"/>
      <c r="Q67" s="19"/>
    </row>
    <row r="68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9"/>
      <c r="O68" s="19"/>
      <c r="P68" s="19"/>
      <c r="Q68" s="19"/>
    </row>
    <row r="6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9"/>
      <c r="O69" s="19"/>
      <c r="P69" s="19"/>
      <c r="Q69" s="19"/>
    </row>
    <row r="70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9"/>
      <c r="O70" s="19"/>
      <c r="P70" s="19"/>
      <c r="Q70" s="19"/>
    </row>
    <row r="7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9"/>
      <c r="O71" s="19"/>
      <c r="P71" s="19"/>
      <c r="Q71" s="19"/>
    </row>
    <row r="72">
      <c r="A72" s="19"/>
      <c r="B72" s="1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19"/>
      <c r="B73" s="1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19"/>
      <c r="B74" s="1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19"/>
      <c r="B75" s="19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19"/>
      <c r="B76" s="19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19"/>
      <c r="B77" s="34" t="str">
        <f>#REF!/$B$4</f>
        <v>#REF!</v>
      </c>
      <c r="C77" s="34" t="str">
        <f>#REF!/$C$4</f>
        <v>#REF!</v>
      </c>
      <c r="D77" s="34" t="str">
        <f>#REF!/$D$4</f>
        <v>#REF!</v>
      </c>
      <c r="E77" s="34" t="str">
        <f>#REF!/$E$4</f>
        <v>#REF!</v>
      </c>
      <c r="F77" s="34" t="str">
        <f>#REF!/$F$4</f>
        <v>#REF!</v>
      </c>
      <c r="G77" s="34" t="str">
        <f>#REF!/$G$4</f>
        <v>#REF!</v>
      </c>
      <c r="H77" s="34" t="str">
        <f>#REF!/$H$4</f>
        <v>#REF!</v>
      </c>
      <c r="I77" s="34" t="str">
        <f>#REF!/$I$4</f>
        <v>#REF!</v>
      </c>
      <c r="J77" s="34" t="str">
        <f>#REF!/$J$4</f>
        <v>#REF!</v>
      </c>
      <c r="K77" s="34" t="str">
        <f>#REF!/$K$4</f>
        <v>#REF!</v>
      </c>
      <c r="L77" s="34" t="str">
        <f>#REF!/$L$4</f>
        <v>#REF!</v>
      </c>
      <c r="M77" s="34" t="str">
        <f>IFERROR(__xludf.DUMMYFUNCTION("AVERAGE.WEIGHTED(B77:L77,B96:L96)"),"#REF!")</f>
        <v>#REF!</v>
      </c>
      <c r="N77" s="34" t="str">
        <f t="shared" ref="N77:V77" si="29">M77</f>
        <v>#REF!</v>
      </c>
      <c r="O77" s="34" t="str">
        <f t="shared" si="29"/>
        <v>#REF!</v>
      </c>
      <c r="P77" s="34" t="str">
        <f t="shared" si="29"/>
        <v>#REF!</v>
      </c>
      <c r="Q77" s="34" t="str">
        <f t="shared" si="29"/>
        <v>#REF!</v>
      </c>
      <c r="R77" s="34" t="str">
        <f t="shared" si="29"/>
        <v>#REF!</v>
      </c>
      <c r="S77" s="34" t="str">
        <f t="shared" si="29"/>
        <v>#REF!</v>
      </c>
      <c r="T77" s="34" t="str">
        <f t="shared" si="29"/>
        <v>#REF!</v>
      </c>
      <c r="U77" s="34" t="str">
        <f t="shared" si="29"/>
        <v>#REF!</v>
      </c>
      <c r="V77" s="34" t="str">
        <f t="shared" si="29"/>
        <v>#REF!</v>
      </c>
      <c r="W77" s="19"/>
      <c r="X77" s="19"/>
      <c r="Y77" s="19"/>
    </row>
    <row r="78">
      <c r="A78" s="19"/>
      <c r="B78" s="34">
        <f t="shared" ref="B78:B80" si="31">B30/$B$4</f>
        <v>0.03258886828</v>
      </c>
      <c r="C78" s="34">
        <f t="shared" ref="C78:C80" si="32">C30/$C$4</f>
        <v>0.04151947399</v>
      </c>
      <c r="D78" s="34">
        <f t="shared" ref="D78:D80" si="33">D30/$D$4</f>
        <v>0.04410300801</v>
      </c>
      <c r="E78" s="34">
        <f t="shared" ref="E78:E80" si="34">E30/$E$4</f>
        <v>0.04756436451</v>
      </c>
      <c r="F78" s="34">
        <f t="shared" ref="F78:F80" si="35">F30/$F$4</f>
        <v>0.05033436907</v>
      </c>
      <c r="G78" s="34">
        <f t="shared" ref="G78:G80" si="36">G30/$G$4</f>
        <v>0.04881997068</v>
      </c>
      <c r="H78" s="34">
        <f t="shared" ref="H78:H80" si="37">H30/$H$4</f>
        <v>0.05005036147</v>
      </c>
      <c r="I78" s="34">
        <f t="shared" ref="I78:I80" si="38">I30/$I$4</f>
        <v>0.04943027918</v>
      </c>
      <c r="J78" s="34">
        <f t="shared" ref="J78:J80" si="39">J30/$J$4</f>
        <v>0.0545437158</v>
      </c>
      <c r="K78" s="34">
        <f t="shared" ref="K78:K80" si="40">K30/$K$4</f>
        <v>0.05725172353</v>
      </c>
      <c r="L78" s="34">
        <f t="shared" ref="L78:L80" si="41">L30/$L$4</f>
        <v>0.0558736678</v>
      </c>
      <c r="M78" s="34">
        <f>IFERROR(__xludf.DUMMYFUNCTION("AVERAGE.WEIGHTED(B78:L78,B96:L96)"),0.05161517810184102)</f>
        <v>0.0516151781</v>
      </c>
      <c r="N78" s="34">
        <f t="shared" ref="N78:V78" si="30">M78</f>
        <v>0.0516151781</v>
      </c>
      <c r="O78" s="34">
        <f t="shared" si="30"/>
        <v>0.0516151781</v>
      </c>
      <c r="P78" s="34">
        <f t="shared" si="30"/>
        <v>0.0516151781</v>
      </c>
      <c r="Q78" s="34">
        <f t="shared" si="30"/>
        <v>0.0516151781</v>
      </c>
      <c r="R78" s="34">
        <f t="shared" si="30"/>
        <v>0.0516151781</v>
      </c>
      <c r="S78" s="34">
        <f t="shared" si="30"/>
        <v>0.0516151781</v>
      </c>
      <c r="T78" s="34">
        <f t="shared" si="30"/>
        <v>0.0516151781</v>
      </c>
      <c r="U78" s="34">
        <f t="shared" si="30"/>
        <v>0.0516151781</v>
      </c>
      <c r="V78" s="34">
        <f t="shared" si="30"/>
        <v>0.0516151781</v>
      </c>
      <c r="W78" s="19"/>
      <c r="X78" s="19"/>
      <c r="Y78" s="19"/>
    </row>
    <row r="79">
      <c r="A79" s="19"/>
      <c r="B79" s="34">
        <f t="shared" si="31"/>
        <v>0.04213866364</v>
      </c>
      <c r="C79" s="34">
        <f t="shared" si="32"/>
        <v>0.04328896866</v>
      </c>
      <c r="D79" s="34">
        <f t="shared" si="33"/>
        <v>0.0405702229</v>
      </c>
      <c r="E79" s="34">
        <f t="shared" si="34"/>
        <v>0.03112960395</v>
      </c>
      <c r="F79" s="34">
        <f t="shared" si="35"/>
        <v>0.03032968393</v>
      </c>
      <c r="G79" s="34">
        <f t="shared" si="36"/>
        <v>0.03980921311</v>
      </c>
      <c r="H79" s="34">
        <f t="shared" si="37"/>
        <v>0.04874368537</v>
      </c>
      <c r="I79" s="34">
        <f t="shared" si="38"/>
        <v>0.04821329847</v>
      </c>
      <c r="J79" s="34">
        <f t="shared" si="39"/>
        <v>0.03939079843</v>
      </c>
      <c r="K79" s="34">
        <f t="shared" si="40"/>
        <v>0.04761289698</v>
      </c>
      <c r="L79" s="34">
        <f t="shared" si="41"/>
        <v>0.06517720184</v>
      </c>
      <c r="M79" s="34">
        <f>IFERROR(__xludf.DUMMYFUNCTION("AVERAGE.WEIGHTED(B79:L79,B96:L96)"),0.04605995371193669)</f>
        <v>0.04605995371</v>
      </c>
      <c r="N79" s="34">
        <f t="shared" ref="N79:V79" si="42">M79</f>
        <v>0.04605995371</v>
      </c>
      <c r="O79" s="34">
        <f t="shared" si="42"/>
        <v>0.04605995371</v>
      </c>
      <c r="P79" s="34">
        <f t="shared" si="42"/>
        <v>0.04605995371</v>
      </c>
      <c r="Q79" s="34">
        <f t="shared" si="42"/>
        <v>0.04605995371</v>
      </c>
      <c r="R79" s="34">
        <f t="shared" si="42"/>
        <v>0.04605995371</v>
      </c>
      <c r="S79" s="34">
        <f t="shared" si="42"/>
        <v>0.04605995371</v>
      </c>
      <c r="T79" s="34">
        <f t="shared" si="42"/>
        <v>0.04605995371</v>
      </c>
      <c r="U79" s="34">
        <f t="shared" si="42"/>
        <v>0.04605995371</v>
      </c>
      <c r="V79" s="34">
        <f t="shared" si="42"/>
        <v>0.04605995371</v>
      </c>
      <c r="W79" s="19"/>
      <c r="X79" s="19"/>
      <c r="Y79" s="19"/>
    </row>
    <row r="80">
      <c r="A80" s="19"/>
      <c r="B80" s="34">
        <f t="shared" si="31"/>
        <v>0.008062909085</v>
      </c>
      <c r="C80" s="34">
        <f t="shared" si="32"/>
        <v>0.009840427225</v>
      </c>
      <c r="D80" s="34">
        <f t="shared" si="33"/>
        <v>0.009997835966</v>
      </c>
      <c r="E80" s="34">
        <f t="shared" si="34"/>
        <v>0.01323828414</v>
      </c>
      <c r="F80" s="34">
        <f t="shared" si="35"/>
        <v>0.01363995987</v>
      </c>
      <c r="G80" s="34">
        <f t="shared" si="36"/>
        <v>0.01590303731</v>
      </c>
      <c r="H80" s="34">
        <f t="shared" si="37"/>
        <v>0.01733290296</v>
      </c>
      <c r="I80" s="34">
        <f t="shared" si="38"/>
        <v>0.01849810673</v>
      </c>
      <c r="J80" s="34">
        <f t="shared" si="39"/>
        <v>0.0204249727</v>
      </c>
      <c r="K80" s="34">
        <f t="shared" si="40"/>
        <v>0.01637147424</v>
      </c>
      <c r="L80" s="34">
        <f t="shared" si="41"/>
        <v>0.02051574156</v>
      </c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33">
        <f t="shared" ref="M83:V83" si="43">M33-M39</f>
        <v>-46367</v>
      </c>
      <c r="N83" s="33">
        <f t="shared" si="43"/>
        <v>-50269.52105</v>
      </c>
      <c r="O83" s="33">
        <f t="shared" si="43"/>
        <v>-49868.64111</v>
      </c>
      <c r="P83" s="33">
        <f t="shared" si="43"/>
        <v>-50965.07382</v>
      </c>
      <c r="Q83" s="33">
        <f t="shared" si="43"/>
        <v>-52503.52676</v>
      </c>
      <c r="R83" s="156">
        <f t="shared" si="43"/>
        <v>-54518.949</v>
      </c>
      <c r="S83" s="156">
        <f t="shared" si="43"/>
        <v>-57058.79147</v>
      </c>
      <c r="T83" s="156">
        <f t="shared" si="43"/>
        <v>-60197.025</v>
      </c>
      <c r="U83" s="156">
        <f t="shared" si="43"/>
        <v>0</v>
      </c>
      <c r="V83" s="156">
        <f t="shared" si="43"/>
        <v>0</v>
      </c>
      <c r="W83" s="19"/>
      <c r="X83" s="19"/>
      <c r="Y83" s="19"/>
    </row>
    <row r="84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33">
        <f t="shared" ref="M84:V84" si="44">M83-L40</f>
        <v>-3809</v>
      </c>
      <c r="N84" s="33">
        <f t="shared" si="44"/>
        <v>-3902.521045</v>
      </c>
      <c r="O84" s="33">
        <f t="shared" si="44"/>
        <v>400.8799381</v>
      </c>
      <c r="P84" s="33">
        <f t="shared" si="44"/>
        <v>-1096.432711</v>
      </c>
      <c r="Q84" s="33">
        <f t="shared" si="44"/>
        <v>-1538.452942</v>
      </c>
      <c r="R84" s="156">
        <f t="shared" si="44"/>
        <v>-2015.422243</v>
      </c>
      <c r="S84" s="156">
        <f t="shared" si="44"/>
        <v>-2539.842462</v>
      </c>
      <c r="T84" s="156">
        <f t="shared" si="44"/>
        <v>-3138.233531</v>
      </c>
      <c r="U84" s="156">
        <f t="shared" si="44"/>
        <v>60197.025</v>
      </c>
      <c r="V84" s="156">
        <f t="shared" si="44"/>
        <v>0</v>
      </c>
      <c r="W84" s="19"/>
      <c r="X84" s="19"/>
      <c r="Y84" s="19"/>
    </row>
    <row r="85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W85" s="19"/>
      <c r="X85" s="19"/>
      <c r="Y85" s="19"/>
    </row>
    <row r="86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W86" s="19"/>
      <c r="X86" s="19"/>
      <c r="Y86" s="19"/>
    </row>
    <row r="87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W87" s="19"/>
      <c r="X87" s="19"/>
      <c r="Y87" s="19"/>
    </row>
    <row r="88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W88" s="19"/>
      <c r="X88" s="19"/>
      <c r="Y88" s="19"/>
    </row>
    <row r="89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W89" s="19"/>
      <c r="X89" s="19"/>
      <c r="Y89" s="19"/>
    </row>
    <row r="90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W90" s="19"/>
      <c r="X90" s="19"/>
      <c r="Y90" s="19"/>
    </row>
    <row r="91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W91" s="19"/>
      <c r="X91" s="19"/>
      <c r="Y91" s="19"/>
    </row>
    <row r="92">
      <c r="W92" s="19"/>
      <c r="X92" s="19"/>
      <c r="Y92" s="19"/>
    </row>
    <row r="96">
      <c r="B96" s="121">
        <v>1.0</v>
      </c>
      <c r="C96" s="121">
        <v>2.0</v>
      </c>
      <c r="D96" s="121">
        <v>3.0</v>
      </c>
      <c r="E96" s="121">
        <v>4.0</v>
      </c>
      <c r="F96" s="121">
        <v>5.0</v>
      </c>
      <c r="G96" s="121">
        <v>6.0</v>
      </c>
      <c r="H96" s="121">
        <v>7.0</v>
      </c>
      <c r="I96" s="121">
        <v>8.0</v>
      </c>
      <c r="J96" s="121">
        <v>9.0</v>
      </c>
      <c r="K96" s="121">
        <v>10.0</v>
      </c>
      <c r="L96" s="121">
        <v>11.0</v>
      </c>
    </row>
    <row r="98">
      <c r="M98" s="120" t="str">
        <f t="shared" ref="M98:V98" si="45">M77*M4</f>
        <v>#REF!</v>
      </c>
      <c r="N98" s="120" t="str">
        <f t="shared" si="45"/>
        <v>#REF!</v>
      </c>
      <c r="O98" s="120" t="str">
        <f t="shared" si="45"/>
        <v>#REF!</v>
      </c>
      <c r="P98" s="120" t="str">
        <f t="shared" si="45"/>
        <v>#REF!</v>
      </c>
      <c r="Q98" s="120" t="str">
        <f t="shared" si="45"/>
        <v>#REF!</v>
      </c>
      <c r="R98" s="120" t="str">
        <f t="shared" si="45"/>
        <v>#REF!</v>
      </c>
      <c r="S98" s="120" t="str">
        <f t="shared" si="45"/>
        <v>#REF!</v>
      </c>
      <c r="T98" s="120" t="str">
        <f t="shared" si="45"/>
        <v>#REF!</v>
      </c>
      <c r="U98" s="120" t="str">
        <f t="shared" si="45"/>
        <v>#REF!</v>
      </c>
      <c r="V98" s="120" t="str">
        <f t="shared" si="45"/>
        <v>#REF!</v>
      </c>
    </row>
    <row r="99">
      <c r="M99" s="156">
        <f t="shared" ref="M99:V99" si="46">M78*M4</f>
        <v>23101.25042</v>
      </c>
      <c r="N99" s="156">
        <f t="shared" si="46"/>
        <v>22659.06319</v>
      </c>
      <c r="O99" s="156">
        <f t="shared" si="46"/>
        <v>22971.45047</v>
      </c>
      <c r="P99" s="156">
        <f t="shared" si="46"/>
        <v>23476.51034</v>
      </c>
      <c r="Q99" s="156">
        <f t="shared" si="46"/>
        <v>24185.18206</v>
      </c>
      <c r="R99" s="156">
        <f t="shared" si="46"/>
        <v>25113.56453</v>
      </c>
      <c r="S99" s="156">
        <f t="shared" si="46"/>
        <v>26283.51551</v>
      </c>
      <c r="T99" s="156">
        <f t="shared" si="46"/>
        <v>27729.10886</v>
      </c>
      <c r="U99" s="156">
        <f t="shared" si="46"/>
        <v>0</v>
      </c>
      <c r="V99" s="156">
        <f t="shared" si="46"/>
        <v>0</v>
      </c>
    </row>
    <row r="100">
      <c r="M100" s="156">
        <f t="shared" ref="M100:V100" si="47">M79*M4</f>
        <v>20614.9153</v>
      </c>
      <c r="N100" s="156">
        <f t="shared" si="47"/>
        <v>20220.31968</v>
      </c>
      <c r="O100" s="156">
        <f t="shared" si="47"/>
        <v>20499.08543</v>
      </c>
      <c r="P100" s="156">
        <f t="shared" si="47"/>
        <v>20949.78686</v>
      </c>
      <c r="Q100" s="156">
        <f t="shared" si="47"/>
        <v>21582.18585</v>
      </c>
      <c r="R100" s="156">
        <f t="shared" si="47"/>
        <v>22410.64862</v>
      </c>
      <c r="S100" s="156">
        <f t="shared" si="47"/>
        <v>23454.68043</v>
      </c>
      <c r="T100" s="156">
        <f t="shared" si="47"/>
        <v>24744.68785</v>
      </c>
      <c r="U100" s="156">
        <f t="shared" si="47"/>
        <v>0</v>
      </c>
      <c r="V100" s="156">
        <f t="shared" si="47"/>
        <v>0</v>
      </c>
    </row>
  </sheetData>
  <mergeCells count="3">
    <mergeCell ref="B2:M2"/>
    <mergeCell ref="N2:T2"/>
    <mergeCell ref="B27:L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13"/>
    <col customWidth="1" min="7" max="7" width="17.38"/>
  </cols>
  <sheetData>
    <row r="2">
      <c r="D2" s="114" t="s">
        <v>113</v>
      </c>
    </row>
    <row r="3">
      <c r="B3" s="7">
        <v>2015.0</v>
      </c>
      <c r="C3" s="7">
        <v>2016.0</v>
      </c>
      <c r="D3" s="7">
        <v>2017.0</v>
      </c>
      <c r="E3" s="7">
        <v>2018.0</v>
      </c>
      <c r="F3" s="7">
        <v>2019.0</v>
      </c>
      <c r="G3" s="7">
        <v>2020.0</v>
      </c>
      <c r="H3" s="7">
        <v>2021.0</v>
      </c>
      <c r="I3" s="7">
        <v>2022.0</v>
      </c>
      <c r="J3" s="7">
        <v>2023.0</v>
      </c>
      <c r="K3" s="7">
        <v>2024.0</v>
      </c>
      <c r="L3" s="153" t="s">
        <v>15</v>
      </c>
      <c r="M3" s="173">
        <v>2026.0</v>
      </c>
      <c r="N3" s="173">
        <v>2027.0</v>
      </c>
      <c r="O3" s="173">
        <v>2028.0</v>
      </c>
      <c r="P3" s="173">
        <v>2029.0</v>
      </c>
      <c r="Q3" s="173">
        <v>2030.0</v>
      </c>
      <c r="R3" s="173">
        <v>2031.0</v>
      </c>
      <c r="S3" s="173">
        <v>2032.0</v>
      </c>
      <c r="T3" s="8"/>
      <c r="U3" s="8"/>
    </row>
    <row r="4">
      <c r="A4" s="160" t="s">
        <v>114</v>
      </c>
      <c r="B4" s="20">
        <f>FS_Forecast!B13*(1-FS_Forecast!B21)</f>
        <v>5978.625311</v>
      </c>
      <c r="C4" s="20">
        <f>FS_Forecast!C13*(1-FS_Forecast!C21)</f>
        <v>6321.105268</v>
      </c>
      <c r="D4" s="20">
        <f>FS_Forecast!D13*(1-FS_Forecast!D21)</f>
        <v>7709.17053</v>
      </c>
      <c r="E4" s="20">
        <f>FS_Forecast!E13*(1-FS_Forecast!E21)</f>
        <v>11738.35891</v>
      </c>
      <c r="F4" s="20">
        <f>FS_Forecast!F13*(1-FS_Forecast!F21)</f>
        <v>13469.23031</v>
      </c>
      <c r="G4" s="20">
        <f>FS_Forecast!G13*(1-FS_Forecast!G21)</f>
        <v>15588.38302</v>
      </c>
      <c r="H4" s="20">
        <f>FS_Forecast!H13*(1-FS_Forecast!H21)</f>
        <v>17033.28729</v>
      </c>
      <c r="I4" s="20">
        <f>FS_Forecast!I13*(1-FS_Forecast!I21)</f>
        <v>19051.36889</v>
      </c>
      <c r="J4" s="20">
        <f>FS_Forecast!J13*(1-FS_Forecast!J21)</f>
        <v>23222.51034</v>
      </c>
      <c r="K4" s="20">
        <f>FS_Forecast!K13*(1-FS_Forecast!K21)</f>
        <v>25724.56554</v>
      </c>
      <c r="L4" s="20">
        <f>FS_Forecast!M13*(1-FS_Forecast!M21)</f>
        <v>16568.46732</v>
      </c>
      <c r="M4" s="20">
        <f>FS_Forecast!N13*(1-FS_Forecast!N21)</f>
        <v>18501.27329</v>
      </c>
      <c r="N4" s="20">
        <f>FS_Forecast!O13*(1-FS_Forecast!O21)</f>
        <v>23268.27602</v>
      </c>
      <c r="O4" s="20">
        <f>FS_Forecast!P13*(1-FS_Forecast!P21)</f>
        <v>23779.86203</v>
      </c>
      <c r="P4" s="20">
        <f>FS_Forecast!Q13*(1-FS_Forecast!Q21)</f>
        <v>24497.69085</v>
      </c>
      <c r="Q4" s="20">
        <f>FS_Forecast!R13*(1-FS_Forecast!R21)</f>
        <v>25438.06941</v>
      </c>
      <c r="R4" s="20">
        <f>FS_Forecast!S13*(1-FS_Forecast!S21)</f>
        <v>26623.13791</v>
      </c>
      <c r="S4" s="20">
        <f>FS_Forecast!T13*(1-FS_Forecast!T21)</f>
        <v>28087.41049</v>
      </c>
      <c r="T4" s="174"/>
      <c r="U4" s="174"/>
    </row>
    <row r="5">
      <c r="A5" s="53" t="s">
        <v>115</v>
      </c>
      <c r="B5" s="20">
        <f>Financials!C11</f>
        <v>1693</v>
      </c>
      <c r="C5" s="20">
        <f>Financials!D11</f>
        <v>2055</v>
      </c>
      <c r="D5" s="20">
        <f>Financials!E11</f>
        <v>2245</v>
      </c>
      <c r="E5" s="20">
        <f>Financials!F11</f>
        <v>2428</v>
      </c>
      <c r="F5" s="20">
        <f>Financials!G11</f>
        <v>2720</v>
      </c>
      <c r="G5" s="20">
        <f>Financials!H11</f>
        <v>2891</v>
      </c>
      <c r="H5" s="20">
        <f>Financials!I11</f>
        <v>3103</v>
      </c>
      <c r="I5" s="20">
        <f>Financials!J11</f>
        <v>3400</v>
      </c>
      <c r="J5" s="20">
        <f>Financials!K11</f>
        <v>3972</v>
      </c>
      <c r="K5" s="20">
        <f>Financials!L11</f>
        <v>4099</v>
      </c>
      <c r="L5" s="47">
        <v>4361.0</v>
      </c>
      <c r="M5" s="20">
        <f>FS_Forecast!N11</f>
        <v>4658.986669</v>
      </c>
      <c r="N5" s="20">
        <f>FS_Forecast!O11</f>
        <v>4723.217399</v>
      </c>
      <c r="O5" s="20">
        <f>FS_Forecast!P11</f>
        <v>4827.064024</v>
      </c>
      <c r="P5" s="20">
        <f>FS_Forecast!Q11</f>
        <v>4972.775789</v>
      </c>
      <c r="Q5" s="20">
        <f>FS_Forecast!R11</f>
        <v>5163.662831</v>
      </c>
      <c r="R5" s="20">
        <f>FS_Forecast!S11</f>
        <v>5404.219378</v>
      </c>
      <c r="S5" s="20">
        <f>FS_Forecast!T11</f>
        <v>5701.451444</v>
      </c>
      <c r="T5" s="174"/>
      <c r="U5" s="174"/>
    </row>
    <row r="6">
      <c r="A6" s="53" t="s">
        <v>116</v>
      </c>
      <c r="B6" s="47">
        <v>1556.0</v>
      </c>
      <c r="C6" s="47">
        <v>1705.0</v>
      </c>
      <c r="D6" s="47">
        <v>2023.0</v>
      </c>
      <c r="E6" s="47">
        <v>2063.0</v>
      </c>
      <c r="F6" s="47">
        <v>2071.0</v>
      </c>
      <c r="G6" s="47">
        <v>2051.0</v>
      </c>
      <c r="H6" s="47">
        <v>2454.0</v>
      </c>
      <c r="I6" s="47">
        <v>2802.0</v>
      </c>
      <c r="J6" s="47">
        <v>3386.0</v>
      </c>
      <c r="K6" s="47">
        <v>3499.0</v>
      </c>
      <c r="L6" s="47">
        <v>3622.0</v>
      </c>
      <c r="M6" s="20">
        <f>$M$9*FS_Forecast!N4</f>
        <v>4163.866343</v>
      </c>
      <c r="N6" s="20">
        <f>$M$9*FS_Forecast!O4</f>
        <v>4221.271138</v>
      </c>
      <c r="O6" s="20">
        <f>$M$9*FS_Forecast!P4</f>
        <v>4314.081763</v>
      </c>
      <c r="P6" s="20">
        <f>$M$9*FS_Forecast!Q4</f>
        <v>4444.308432</v>
      </c>
      <c r="Q6" s="20">
        <f>$M$9*FS_Forecast!R4</f>
        <v>4614.909506</v>
      </c>
      <c r="R6" s="20">
        <f>$M$9*FS_Forecast!S4</f>
        <v>4829.901602</v>
      </c>
      <c r="S6" s="20">
        <f>$M$9*FS_Forecast!T4</f>
        <v>5095.54619</v>
      </c>
      <c r="T6" s="174"/>
      <c r="U6" s="174"/>
    </row>
    <row r="7">
      <c r="A7" s="53" t="s">
        <v>117</v>
      </c>
      <c r="B7" s="42">
        <f>FS_Forecast!C41</f>
        <v>2235</v>
      </c>
      <c r="C7" s="42">
        <f>FS_Forecast!D41</f>
        <v>-3166</v>
      </c>
      <c r="D7" s="42">
        <f>FS_Forecast!E41</f>
        <v>-4553</v>
      </c>
      <c r="E7" s="42">
        <f>FS_Forecast!F41</f>
        <v>-787</v>
      </c>
      <c r="F7" s="42">
        <f>FS_Forecast!G41</f>
        <v>-2699</v>
      </c>
      <c r="G7" s="42">
        <f>FS_Forecast!H41</f>
        <v>-5141</v>
      </c>
      <c r="H7" s="42">
        <f>FS_Forecast!I41</f>
        <v>-3530</v>
      </c>
      <c r="I7" s="42">
        <f>FS_Forecast!J41</f>
        <v>-7786</v>
      </c>
      <c r="J7" s="42">
        <f>FS_Forecast!K41</f>
        <v>-670</v>
      </c>
      <c r="K7" s="42">
        <f>FS_Forecast!L41</f>
        <v>7168</v>
      </c>
      <c r="L7" s="42">
        <f>FS_Forecast!M41</f>
        <v>-3809</v>
      </c>
      <c r="M7" s="42">
        <f>FS_Forecast!N41</f>
        <v>-3902.521045</v>
      </c>
      <c r="N7" s="42">
        <f>FS_Forecast!O41</f>
        <v>400.8799381</v>
      </c>
      <c r="O7" s="42">
        <f>FS_Forecast!P41</f>
        <v>-1096.432711</v>
      </c>
      <c r="P7" s="42">
        <f>FS_Forecast!Q41</f>
        <v>-1538.452942</v>
      </c>
      <c r="Q7" s="42">
        <f>FS_Forecast!R41</f>
        <v>-2015.422243</v>
      </c>
      <c r="R7" s="42">
        <f>FS_Forecast!S41</f>
        <v>-2539.842462</v>
      </c>
      <c r="S7" s="42">
        <f>FS_Forecast!T41</f>
        <v>-3138.233531</v>
      </c>
      <c r="T7" s="175"/>
      <c r="U7" s="175"/>
    </row>
    <row r="8">
      <c r="A8" s="176" t="s">
        <v>118</v>
      </c>
      <c r="B8" s="27">
        <f t="shared" ref="B8:S8" si="1">B4+B5-B6-B7</f>
        <v>3880.625311</v>
      </c>
      <c r="C8" s="27">
        <f t="shared" si="1"/>
        <v>9837.105268</v>
      </c>
      <c r="D8" s="27">
        <f t="shared" si="1"/>
        <v>12484.17053</v>
      </c>
      <c r="E8" s="27">
        <f t="shared" si="1"/>
        <v>12890.35891</v>
      </c>
      <c r="F8" s="27">
        <f t="shared" si="1"/>
        <v>16817.23031</v>
      </c>
      <c r="G8" s="27">
        <f t="shared" si="1"/>
        <v>21569.38302</v>
      </c>
      <c r="H8" s="27">
        <f t="shared" si="1"/>
        <v>21212.28729</v>
      </c>
      <c r="I8" s="27">
        <f t="shared" si="1"/>
        <v>27435.36889</v>
      </c>
      <c r="J8" s="27">
        <f t="shared" si="1"/>
        <v>24478.51034</v>
      </c>
      <c r="K8" s="27">
        <f t="shared" si="1"/>
        <v>19156.56554</v>
      </c>
      <c r="L8" s="136">
        <f t="shared" si="1"/>
        <v>21116.46732</v>
      </c>
      <c r="M8" s="27">
        <f t="shared" si="1"/>
        <v>22898.91466</v>
      </c>
      <c r="N8" s="27">
        <f t="shared" si="1"/>
        <v>23369.34235</v>
      </c>
      <c r="O8" s="27">
        <f t="shared" si="1"/>
        <v>25389.277</v>
      </c>
      <c r="P8" s="27">
        <f t="shared" si="1"/>
        <v>26564.61115</v>
      </c>
      <c r="Q8" s="27">
        <f t="shared" si="1"/>
        <v>28002.24498</v>
      </c>
      <c r="R8" s="27">
        <f t="shared" si="1"/>
        <v>29737.29815</v>
      </c>
      <c r="S8" s="27">
        <f t="shared" si="1"/>
        <v>31831.54928</v>
      </c>
      <c r="T8" s="177"/>
      <c r="U8" s="177"/>
    </row>
    <row r="9">
      <c r="A9" s="65"/>
      <c r="B9" s="101">
        <f>B6/Financials!B4</f>
        <v>0.01192574766</v>
      </c>
      <c r="C9" s="101">
        <f>C6/Financials!C4</f>
        <v>0.01085247634</v>
      </c>
      <c r="D9" s="101">
        <f>D6/Financials!D4</f>
        <v>0.01094460074</v>
      </c>
      <c r="E9" s="101">
        <f>E6/Financials!E4</f>
        <v>0.01025556898</v>
      </c>
      <c r="F9" s="101">
        <f>F6/Financials!F4</f>
        <v>0.009153712535</v>
      </c>
      <c r="G9" s="101">
        <f>G6/Financials!G4</f>
        <v>0.008469781751</v>
      </c>
      <c r="H9" s="101">
        <f>H6/Financials!H4</f>
        <v>0.009543402258</v>
      </c>
      <c r="I9" s="101">
        <f>I6/Financials!I4</f>
        <v>0.009742799821</v>
      </c>
      <c r="J9" s="101">
        <f>J6/Financials!J4</f>
        <v>0.01044539459</v>
      </c>
      <c r="K9" s="101">
        <f>K6/Financials!K4</f>
        <v>0.009415481322</v>
      </c>
      <c r="L9" s="101">
        <f>L6/FS_Forecast!M4</f>
        <v>0.008092643113</v>
      </c>
      <c r="M9" s="101">
        <f>IFERROR(__xludf.DUMMYFUNCTION("AVERAGE.WEIGHTED(B9:L9,B10:L10)"),0.009484889162893884)</f>
        <v>0.009484889163</v>
      </c>
      <c r="N9" s="65"/>
      <c r="O9" s="65"/>
      <c r="P9" s="65"/>
      <c r="Q9" s="65"/>
      <c r="R9" s="65"/>
      <c r="S9" s="65"/>
      <c r="T9" s="65"/>
      <c r="U9" s="65"/>
    </row>
    <row r="10">
      <c r="A10" s="65"/>
      <c r="B10" s="178">
        <v>1.0</v>
      </c>
      <c r="C10" s="178">
        <v>2.0</v>
      </c>
      <c r="D10" s="178">
        <v>3.0</v>
      </c>
      <c r="E10" s="178">
        <v>4.0</v>
      </c>
      <c r="F10" s="178">
        <v>5.0</v>
      </c>
      <c r="G10" s="178">
        <v>6.0</v>
      </c>
      <c r="H10" s="178">
        <v>7.0</v>
      </c>
      <c r="I10" s="178">
        <v>8.0</v>
      </c>
      <c r="J10" s="178">
        <v>9.0</v>
      </c>
      <c r="K10" s="178">
        <v>10.0</v>
      </c>
      <c r="L10" s="178">
        <v>11.0</v>
      </c>
      <c r="M10" s="65"/>
      <c r="N10" s="65"/>
      <c r="O10" s="65"/>
      <c r="P10" s="65"/>
      <c r="Q10" s="65"/>
      <c r="R10" s="65"/>
      <c r="S10" s="65"/>
      <c r="T10" s="65"/>
      <c r="U10" s="65"/>
      <c r="V10" s="19"/>
      <c r="W10" s="19"/>
      <c r="X10" s="19"/>
    </row>
    <row r="11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178"/>
      <c r="M11" s="178">
        <v>1.0</v>
      </c>
      <c r="N11" s="178">
        <v>2.0</v>
      </c>
      <c r="O11" s="178">
        <v>3.0</v>
      </c>
      <c r="P11" s="178">
        <v>4.0</v>
      </c>
      <c r="Q11" s="178">
        <v>5.0</v>
      </c>
      <c r="R11" s="178">
        <v>6.0</v>
      </c>
      <c r="S11" s="178">
        <v>7.0</v>
      </c>
      <c r="T11" s="178"/>
      <c r="U11" s="178"/>
      <c r="V11" s="19"/>
      <c r="W11" s="19"/>
      <c r="X11" s="19"/>
    </row>
    <row r="12">
      <c r="A12" s="56"/>
      <c r="B12" s="179"/>
      <c r="C12" s="62"/>
      <c r="D12" s="56"/>
      <c r="E12" s="56"/>
      <c r="F12" s="56"/>
      <c r="G12" s="56"/>
      <c r="H12" s="56"/>
      <c r="I12" s="65"/>
      <c r="J12" s="65"/>
      <c r="K12" s="65"/>
      <c r="L12" s="65"/>
      <c r="M12" s="102">
        <f t="shared" ref="M12:S12" si="2">M8/(1+$B$24)^M11</f>
        <v>21545.84844</v>
      </c>
      <c r="N12" s="102">
        <f t="shared" si="2"/>
        <v>20689.20938</v>
      </c>
      <c r="O12" s="102">
        <f t="shared" si="2"/>
        <v>21149.32153</v>
      </c>
      <c r="P12" s="102">
        <f t="shared" si="2"/>
        <v>20820.84116</v>
      </c>
      <c r="Q12" s="102">
        <f t="shared" si="2"/>
        <v>20650.77528</v>
      </c>
      <c r="R12" s="102">
        <f t="shared" si="2"/>
        <v>20634.48903</v>
      </c>
      <c r="S12" s="102">
        <f t="shared" si="2"/>
        <v>20782.54314</v>
      </c>
      <c r="T12" s="65"/>
      <c r="U12" s="65"/>
      <c r="V12" s="19"/>
      <c r="W12" s="19"/>
      <c r="X12" s="19"/>
    </row>
    <row r="13">
      <c r="A13" s="56"/>
      <c r="B13" s="56"/>
      <c r="C13" s="56"/>
      <c r="D13" s="56"/>
      <c r="E13" s="56"/>
      <c r="F13" s="180" t="s">
        <v>119</v>
      </c>
      <c r="G13" s="181"/>
      <c r="H13" s="182">
        <v>0.02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19"/>
      <c r="W13" s="19"/>
      <c r="X13" s="19"/>
    </row>
    <row r="14">
      <c r="A14" s="183" t="s">
        <v>120</v>
      </c>
      <c r="C14" s="56"/>
      <c r="D14" s="56"/>
      <c r="E14" s="56"/>
      <c r="F14" s="180" t="s">
        <v>121</v>
      </c>
      <c r="G14" s="181"/>
      <c r="H14" s="184">
        <f>S8*(1+H13)</f>
        <v>32468.18026</v>
      </c>
      <c r="I14" s="65"/>
      <c r="J14" s="178" t="s">
        <v>122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19"/>
      <c r="W14" s="19"/>
      <c r="X14" s="19"/>
    </row>
    <row r="15">
      <c r="A15" s="185" t="s">
        <v>123</v>
      </c>
      <c r="B15" s="186">
        <v>0.0414</v>
      </c>
      <c r="C15" s="56"/>
      <c r="D15" s="56"/>
      <c r="E15" s="56"/>
      <c r="F15" s="180" t="s">
        <v>124</v>
      </c>
      <c r="G15" s="181"/>
      <c r="H15" s="187">
        <f>H14/(B24-H13)</f>
        <v>758613.0877</v>
      </c>
      <c r="I15" s="65"/>
      <c r="J15" s="65">
        <f>K15-K13</f>
        <v>0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19"/>
      <c r="W15" s="19"/>
      <c r="X15" s="19"/>
    </row>
    <row r="16">
      <c r="A16" s="185" t="s">
        <v>125</v>
      </c>
      <c r="B16" s="186">
        <v>0.0638</v>
      </c>
      <c r="C16" s="56"/>
      <c r="D16" s="56"/>
      <c r="E16" s="56"/>
      <c r="F16" s="180" t="s">
        <v>126</v>
      </c>
      <c r="G16" s="181"/>
      <c r="H16" s="187">
        <f>H15/J18</f>
        <v>495291.922</v>
      </c>
      <c r="I16" s="65"/>
      <c r="J16" s="65"/>
      <c r="K16" s="65"/>
      <c r="L16" s="65"/>
      <c r="M16" s="102">
        <f>SUM(M12:S12)</f>
        <v>146273.028</v>
      </c>
      <c r="N16" s="65"/>
      <c r="O16" s="65"/>
      <c r="P16" s="65"/>
      <c r="Q16" s="65"/>
      <c r="R16" s="65"/>
      <c r="S16" s="65"/>
      <c r="T16" s="65"/>
      <c r="U16" s="65"/>
      <c r="V16" s="19"/>
      <c r="W16" s="19"/>
      <c r="X16" s="19"/>
    </row>
    <row r="17">
      <c r="A17" s="185" t="s">
        <v>127</v>
      </c>
      <c r="B17" s="185">
        <v>0.43</v>
      </c>
      <c r="C17" s="56"/>
      <c r="D17" s="56"/>
      <c r="E17" s="56"/>
      <c r="F17" s="180" t="s">
        <v>128</v>
      </c>
      <c r="G17" s="181"/>
      <c r="H17" s="187">
        <f>SUM(L12:U12)</f>
        <v>146273.028</v>
      </c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19"/>
      <c r="W17" s="19"/>
      <c r="X17" s="19"/>
    </row>
    <row r="18">
      <c r="A18" s="185" t="s">
        <v>129</v>
      </c>
      <c r="B18" s="188">
        <f>B15+(B17*B16)</f>
        <v>0.068834</v>
      </c>
      <c r="C18" s="56"/>
      <c r="D18" s="56"/>
      <c r="E18" s="56"/>
      <c r="F18" s="189" t="s">
        <v>130</v>
      </c>
      <c r="G18" s="190"/>
      <c r="H18" s="191">
        <f>SUM(H16:H17)</f>
        <v>641564.9499</v>
      </c>
      <c r="I18" s="65"/>
      <c r="J18" s="178">
        <f>(1+B24)^S11</f>
        <v>1.531648416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19"/>
      <c r="W18" s="19"/>
      <c r="X18" s="19"/>
    </row>
    <row r="19">
      <c r="A19" s="185" t="s">
        <v>131</v>
      </c>
      <c r="B19" s="192">
        <f>Sheet3!M4</f>
        <v>262693.6</v>
      </c>
      <c r="C19" s="193"/>
      <c r="D19" s="56"/>
      <c r="E19" s="56"/>
      <c r="F19" s="180" t="s">
        <v>132</v>
      </c>
      <c r="G19" s="181"/>
      <c r="H19" s="194">
        <f>Financials!M42</f>
        <v>54251</v>
      </c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19"/>
      <c r="W19" s="19"/>
      <c r="X19" s="19"/>
    </row>
    <row r="20">
      <c r="A20" s="185" t="s">
        <v>133</v>
      </c>
      <c r="B20" s="186">
        <v>0.0534</v>
      </c>
      <c r="C20" s="56"/>
      <c r="D20" s="56"/>
      <c r="E20" s="56"/>
      <c r="F20" s="195" t="s">
        <v>134</v>
      </c>
      <c r="G20" s="181"/>
      <c r="H20" s="196">
        <f>H16/H18</f>
        <v>0.7720058928</v>
      </c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19"/>
      <c r="W20" s="19"/>
      <c r="X20" s="19"/>
    </row>
    <row r="21">
      <c r="A21" s="185" t="s">
        <v>135</v>
      </c>
      <c r="B21" s="197">
        <v>0.21</v>
      </c>
      <c r="C21" s="56"/>
      <c r="D21" s="56"/>
      <c r="E21" s="56"/>
      <c r="F21" s="198"/>
      <c r="G21" s="181"/>
      <c r="H21" s="199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19"/>
      <c r="W21" s="19"/>
      <c r="X21" s="19"/>
    </row>
    <row r="22">
      <c r="A22" s="185" t="s">
        <v>136</v>
      </c>
      <c r="B22" s="188">
        <f>B20*(1-B21)</f>
        <v>0.042186</v>
      </c>
      <c r="C22" s="56"/>
      <c r="D22" s="56"/>
      <c r="E22" s="56"/>
      <c r="F22" s="198"/>
      <c r="G22" s="181"/>
      <c r="H22" s="199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19"/>
      <c r="W22" s="19"/>
      <c r="X22" s="19"/>
    </row>
    <row r="23">
      <c r="A23" s="185" t="s">
        <v>137</v>
      </c>
      <c r="B23" s="192">
        <f>Sheet3!M5+H28</f>
        <v>76904</v>
      </c>
      <c r="C23" s="56"/>
      <c r="D23" s="56"/>
      <c r="E23" s="56"/>
      <c r="F23" s="200" t="s">
        <v>138</v>
      </c>
      <c r="G23" s="201"/>
      <c r="H23" s="201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19"/>
      <c r="W23" s="19"/>
      <c r="X23" s="19"/>
    </row>
    <row r="24">
      <c r="A24" s="202" t="s">
        <v>139</v>
      </c>
      <c r="B24" s="203">
        <f>B26+B27</f>
        <v>0.06279939377</v>
      </c>
      <c r="C24" s="56"/>
      <c r="D24" s="56"/>
      <c r="E24" s="56"/>
      <c r="F24" s="190"/>
      <c r="G24" s="190"/>
      <c r="H24" s="190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19"/>
      <c r="W24" s="19"/>
      <c r="X24" s="19"/>
    </row>
    <row r="25">
      <c r="A25" s="65"/>
      <c r="B25" s="65"/>
      <c r="C25" s="65"/>
      <c r="D25" s="65"/>
      <c r="E25" s="56"/>
      <c r="F25" s="199"/>
      <c r="G25" s="181"/>
      <c r="H25" s="204" t="s">
        <v>140</v>
      </c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19"/>
      <c r="W25" s="19"/>
      <c r="X25" s="19"/>
    </row>
    <row r="26">
      <c r="A26" s="101">
        <f>B19/A30</f>
        <v>0.7735437471</v>
      </c>
      <c r="B26" s="101">
        <f>A26*B18</f>
        <v>0.05324611029</v>
      </c>
      <c r="C26" s="65"/>
      <c r="D26" s="65"/>
      <c r="E26" s="56"/>
      <c r="F26" s="180" t="s">
        <v>141</v>
      </c>
      <c r="G26" s="181"/>
      <c r="H26" s="205">
        <f>H18+H19</f>
        <v>695815.9499</v>
      </c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19"/>
      <c r="W26" s="19"/>
      <c r="X26" s="19"/>
    </row>
    <row r="27">
      <c r="A27" s="101">
        <f>B23/A30</f>
        <v>0.2264562529</v>
      </c>
      <c r="B27" s="206">
        <f>B22*A27</f>
        <v>0.009553283486</v>
      </c>
      <c r="C27" s="65"/>
      <c r="D27" s="65"/>
      <c r="E27" s="56"/>
      <c r="F27" s="180" t="s">
        <v>142</v>
      </c>
      <c r="G27" s="207"/>
      <c r="H27" s="208">
        <f>Sheet3!M5+I27</f>
        <v>72359</v>
      </c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19"/>
      <c r="W27" s="19"/>
      <c r="X27" s="19"/>
    </row>
    <row r="28">
      <c r="A28" s="101"/>
      <c r="B28" s="65"/>
      <c r="C28" s="65"/>
      <c r="D28" s="65"/>
      <c r="E28" s="56"/>
      <c r="F28" s="180" t="s">
        <v>143</v>
      </c>
      <c r="G28" s="207"/>
      <c r="H28" s="208">
        <v>4545.0</v>
      </c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19"/>
      <c r="W28" s="19"/>
      <c r="X28" s="19"/>
    </row>
    <row r="29">
      <c r="A29" s="101"/>
      <c r="B29" s="65"/>
      <c r="C29" s="65"/>
      <c r="D29" s="65"/>
      <c r="E29" s="56"/>
      <c r="F29" s="180" t="s">
        <v>144</v>
      </c>
      <c r="G29" s="207"/>
      <c r="H29" s="208">
        <v>9933.0</v>
      </c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19"/>
      <c r="W29" s="19"/>
      <c r="X29" s="19"/>
    </row>
    <row r="30">
      <c r="A30" s="102">
        <f>B19+B23</f>
        <v>339597.6</v>
      </c>
      <c r="B30" s="65"/>
      <c r="C30" s="65"/>
      <c r="D30" s="65"/>
      <c r="E30" s="56"/>
      <c r="F30" s="180" t="s">
        <v>145</v>
      </c>
      <c r="G30" s="209"/>
      <c r="H30" s="210">
        <v>4889.0</v>
      </c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19"/>
      <c r="W30" s="19"/>
      <c r="X30" s="19"/>
    </row>
    <row r="31">
      <c r="A31" s="65"/>
      <c r="B31" s="65"/>
      <c r="C31" s="65"/>
      <c r="D31" s="65"/>
      <c r="E31" s="56"/>
      <c r="F31" s="180" t="s">
        <v>146</v>
      </c>
      <c r="G31" s="209"/>
      <c r="H31" s="210">
        <f>H26-H27-H29-H30-H28</f>
        <v>604089.9499</v>
      </c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19"/>
      <c r="W31" s="19"/>
      <c r="X31" s="19"/>
    </row>
    <row r="32">
      <c r="A32" s="19"/>
      <c r="B32" s="19"/>
      <c r="C32" s="19"/>
      <c r="D32" s="19"/>
      <c r="E32" s="54"/>
      <c r="F32" s="180" t="s">
        <v>147</v>
      </c>
      <c r="G32" s="209"/>
      <c r="H32" s="208">
        <v>907.67</v>
      </c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19"/>
      <c r="T32" s="19"/>
      <c r="U32" s="19"/>
    </row>
    <row r="33">
      <c r="A33" s="19"/>
      <c r="B33" s="19"/>
      <c r="C33" s="19"/>
      <c r="D33" s="19"/>
      <c r="E33" s="54"/>
      <c r="F33" s="189" t="s">
        <v>148</v>
      </c>
      <c r="G33" s="211"/>
      <c r="H33" s="212">
        <f>H31/H32</f>
        <v>665.5391827</v>
      </c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19"/>
      <c r="T33" s="19"/>
      <c r="U33" s="19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</row>
    <row r="35">
      <c r="A35" s="54"/>
      <c r="B35" s="54"/>
      <c r="C35" s="54"/>
      <c r="D35" s="54"/>
      <c r="E35" s="54"/>
      <c r="I35" s="54"/>
      <c r="J35" s="54"/>
      <c r="K35" s="54"/>
      <c r="L35" s="54"/>
      <c r="M35" s="54"/>
      <c r="N35" s="54"/>
      <c r="O35" s="54"/>
      <c r="P35" s="54"/>
      <c r="Q35" s="54"/>
      <c r="R35" s="54"/>
    </row>
    <row r="36">
      <c r="A36" s="54"/>
      <c r="B36" s="54"/>
      <c r="C36" s="54"/>
      <c r="D36" s="54"/>
      <c r="E36" s="54"/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>
      <c r="A37" s="213"/>
      <c r="B37" s="214"/>
      <c r="C37" s="215"/>
      <c r="D37" s="215"/>
      <c r="E37" s="215"/>
      <c r="F37" s="215"/>
      <c r="G37" s="215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>
      <c r="A38" s="216"/>
      <c r="B38" s="215"/>
      <c r="C38" s="217"/>
      <c r="D38" s="217"/>
      <c r="E38" s="217"/>
      <c r="F38" s="217"/>
      <c r="G38" s="217"/>
      <c r="I38" s="54"/>
      <c r="J38" s="54"/>
      <c r="K38" s="54"/>
      <c r="L38" s="54"/>
      <c r="M38" s="54"/>
      <c r="N38" s="54"/>
      <c r="O38" s="54"/>
      <c r="P38" s="54"/>
      <c r="Q38" s="54"/>
      <c r="R38" s="54"/>
    </row>
    <row r="39">
      <c r="A39" s="216"/>
      <c r="B39" s="218"/>
      <c r="C39" s="217"/>
      <c r="D39" s="217"/>
      <c r="E39" s="217"/>
      <c r="F39" s="219"/>
      <c r="G39" s="219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</row>
    <row r="40">
      <c r="A40" s="216"/>
      <c r="B40" s="215"/>
      <c r="C40" s="217"/>
      <c r="D40" s="217"/>
      <c r="E40" s="217"/>
      <c r="F40" s="219"/>
      <c r="G40" s="219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</row>
    <row r="41">
      <c r="A41" s="220"/>
      <c r="B41" s="221"/>
      <c r="C41" s="219"/>
      <c r="D41" s="219"/>
      <c r="E41" s="219"/>
      <c r="F41" s="219"/>
      <c r="G41" s="219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</row>
    <row r="42">
      <c r="A42" s="220"/>
      <c r="B42" s="222"/>
      <c r="C42" s="219"/>
      <c r="D42" s="219"/>
      <c r="E42" s="219"/>
      <c r="F42" s="219"/>
      <c r="G42" s="219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</row>
    <row r="44">
      <c r="J44" s="54"/>
      <c r="K44" s="54"/>
      <c r="L44" s="54"/>
      <c r="M44" s="54"/>
      <c r="N44" s="54"/>
      <c r="O44" s="54"/>
      <c r="P44" s="54"/>
      <c r="Q44" s="54"/>
      <c r="R44" s="54"/>
    </row>
    <row r="45">
      <c r="J45" s="54"/>
      <c r="K45" s="54"/>
      <c r="L45" s="54"/>
      <c r="M45" s="54"/>
      <c r="N45" s="54"/>
      <c r="O45" s="54"/>
      <c r="P45" s="54"/>
      <c r="Q45" s="54"/>
      <c r="R45" s="54"/>
    </row>
    <row r="46">
      <c r="J46" s="54"/>
      <c r="K46" s="54"/>
      <c r="L46" s="54"/>
      <c r="M46" s="54"/>
      <c r="N46" s="54"/>
      <c r="O46" s="54"/>
      <c r="P46" s="54"/>
      <c r="Q46" s="54"/>
      <c r="R46" s="54"/>
    </row>
    <row r="47">
      <c r="J47" s="54"/>
      <c r="K47" s="54"/>
      <c r="L47" s="54"/>
      <c r="M47" s="54"/>
      <c r="N47" s="54"/>
      <c r="O47" s="54"/>
      <c r="P47" s="54"/>
      <c r="Q47" s="54"/>
      <c r="R47" s="54"/>
    </row>
    <row r="48">
      <c r="J48" s="54"/>
      <c r="K48" s="54"/>
      <c r="L48" s="54"/>
      <c r="M48" s="54"/>
      <c r="N48" s="54"/>
      <c r="O48" s="54"/>
      <c r="P48" s="54"/>
      <c r="Q48" s="54"/>
      <c r="R48" s="54"/>
    </row>
    <row r="49">
      <c r="J49" s="54"/>
      <c r="K49" s="54"/>
      <c r="L49" s="54"/>
      <c r="M49" s="54"/>
      <c r="N49" s="54"/>
      <c r="O49" s="54"/>
      <c r="P49" s="54"/>
      <c r="Q49" s="54"/>
      <c r="R49" s="54"/>
    </row>
    <row r="50">
      <c r="J50" s="54"/>
      <c r="K50" s="54"/>
      <c r="L50" s="54"/>
      <c r="M50" s="54"/>
      <c r="N50" s="54"/>
      <c r="O50" s="54"/>
      <c r="P50" s="54"/>
      <c r="Q50" s="54"/>
      <c r="R50" s="54"/>
    </row>
    <row r="51">
      <c r="J51" s="54"/>
      <c r="K51" s="54"/>
      <c r="L51" s="54"/>
      <c r="M51" s="54"/>
      <c r="N51" s="54"/>
      <c r="O51" s="54"/>
      <c r="P51" s="54"/>
      <c r="Q51" s="54"/>
      <c r="R51" s="54"/>
    </row>
    <row r="52">
      <c r="J52" s="54"/>
      <c r="K52" s="54"/>
      <c r="L52" s="54"/>
      <c r="M52" s="54"/>
      <c r="N52" s="54"/>
      <c r="O52" s="54"/>
      <c r="P52" s="54"/>
      <c r="Q52" s="54"/>
      <c r="R52" s="54"/>
    </row>
    <row r="53">
      <c r="J53" s="54"/>
      <c r="K53" s="54"/>
      <c r="L53" s="54"/>
      <c r="M53" s="54"/>
      <c r="N53" s="54"/>
      <c r="O53" s="54"/>
      <c r="P53" s="54"/>
      <c r="Q53" s="54"/>
      <c r="R53" s="54"/>
    </row>
  </sheetData>
  <mergeCells count="1">
    <mergeCell ref="A14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18" t="s">
        <v>149</v>
      </c>
    </row>
    <row r="3">
      <c r="A3" s="223">
        <v>44256.0</v>
      </c>
      <c r="B3" s="224">
        <v>290.0</v>
      </c>
      <c r="C3" s="225">
        <v>6909.51</v>
      </c>
      <c r="E3" s="226">
        <f>SLOPE(H4:H263,I4:I263)</f>
        <v>0.3229871202</v>
      </c>
    </row>
    <row r="4">
      <c r="A4" s="223">
        <v>44287.0</v>
      </c>
      <c r="B4" s="224">
        <v>286.93</v>
      </c>
      <c r="C4" s="225">
        <v>6939.03</v>
      </c>
      <c r="H4" s="227">
        <v>-0.0109</v>
      </c>
      <c r="I4" s="227">
        <v>0.0107</v>
      </c>
      <c r="K4" s="120">
        <f>4.08+0.323*(6)</f>
        <v>6.018</v>
      </c>
      <c r="M4" s="120">
        <f>905.84*290</f>
        <v>262693.6</v>
      </c>
    </row>
    <row r="5">
      <c r="A5" s="223">
        <v>44317.0</v>
      </c>
      <c r="B5" s="224">
        <v>330.11</v>
      </c>
      <c r="C5" s="225">
        <v>6845.5</v>
      </c>
      <c r="E5" s="120">
        <f>COVAR(B3:B55,C3:C55)</f>
        <v>-51372.0927</v>
      </c>
      <c r="H5" s="227">
        <v>0.0598</v>
      </c>
      <c r="I5" s="227">
        <v>-0.0139</v>
      </c>
      <c r="K5" s="121">
        <v>3.0</v>
      </c>
      <c r="M5" s="121">
        <v>72359.0</v>
      </c>
    </row>
    <row r="6">
      <c r="A6" s="223">
        <v>44348.0</v>
      </c>
      <c r="B6" s="224">
        <v>329.77</v>
      </c>
      <c r="C6" s="225">
        <v>6849.09</v>
      </c>
      <c r="E6" s="120">
        <f>VAR(C3:C55)</f>
        <v>975450.6022</v>
      </c>
      <c r="H6" s="227">
        <v>-0.0358</v>
      </c>
      <c r="I6" s="227">
        <v>-0.001</v>
      </c>
      <c r="M6" s="120">
        <f>SUM(M4:M5)</f>
        <v>335052.6</v>
      </c>
    </row>
    <row r="7">
      <c r="A7" s="223">
        <v>44378.0</v>
      </c>
      <c r="B7" s="224">
        <v>341.56</v>
      </c>
      <c r="C7" s="225">
        <v>6840.2</v>
      </c>
      <c r="H7" s="227">
        <v>-0.1946</v>
      </c>
      <c r="I7" s="227">
        <v>0.0034</v>
      </c>
    </row>
    <row r="8">
      <c r="A8" s="223">
        <v>44409.0</v>
      </c>
      <c r="B8" s="224">
        <v>345.3</v>
      </c>
      <c r="C8" s="225">
        <v>6688.46</v>
      </c>
      <c r="H8" s="227">
        <v>0.0762</v>
      </c>
      <c r="I8" s="227">
        <v>-0.0035</v>
      </c>
      <c r="M8" s="120">
        <f>M5/M4</f>
        <v>0.2754501823</v>
      </c>
    </row>
    <row r="9">
      <c r="A9" s="223">
        <v>44440.0</v>
      </c>
      <c r="B9" s="224">
        <v>309.87</v>
      </c>
      <c r="C9" s="225">
        <v>6460.26</v>
      </c>
      <c r="F9" s="120">
        <f>COVAR(H4:H263,I4:I263)</f>
        <v>0.0001575051343</v>
      </c>
      <c r="H9" s="227">
        <v>-0.0377</v>
      </c>
      <c r="I9" s="227">
        <v>-0.0038</v>
      </c>
      <c r="K9" s="120">
        <f>(M4/M6)*K4</f>
        <v>4.718334031</v>
      </c>
      <c r="M9" s="120">
        <f>(1-0.28)*M8</f>
        <v>0.1983241312</v>
      </c>
      <c r="N9" s="120">
        <f>1+M9</f>
        <v>1.198324131</v>
      </c>
    </row>
    <row r="10">
      <c r="A10" s="223">
        <v>44470.0</v>
      </c>
      <c r="B10" s="224">
        <v>249.56</v>
      </c>
      <c r="C10" s="225">
        <v>6339.39</v>
      </c>
      <c r="F10" s="120">
        <f>VAR(I4:I263)</f>
        <v>0.0004895342643</v>
      </c>
      <c r="H10" s="227">
        <v>0.0225</v>
      </c>
      <c r="I10" s="227">
        <v>0.0157</v>
      </c>
      <c r="K10" s="120">
        <f>(M5/M6)*K5</f>
        <v>0.6478893165</v>
      </c>
      <c r="N10" s="120">
        <f>0.323*N9</f>
        <v>0.3870586944</v>
      </c>
    </row>
    <row r="11">
      <c r="A11" s="223">
        <v>44501.0</v>
      </c>
      <c r="B11" s="224">
        <v>311.97</v>
      </c>
      <c r="C11" s="225">
        <v>6204.95</v>
      </c>
      <c r="F11" s="120">
        <f>F9/F10</f>
        <v>0.321744862</v>
      </c>
      <c r="H11" s="227">
        <v>0.0138</v>
      </c>
      <c r="I11" s="227">
        <v>-0.0103</v>
      </c>
      <c r="K11" s="120">
        <f>SUM(K9:K10)</f>
        <v>5.366223348</v>
      </c>
    </row>
    <row r="12">
      <c r="A12" s="223">
        <v>44531.0</v>
      </c>
      <c r="B12" s="224">
        <v>301.91</v>
      </c>
      <c r="C12" s="225">
        <v>5911.69</v>
      </c>
      <c r="H12" s="227">
        <v>0.0135</v>
      </c>
      <c r="I12" s="227">
        <v>0.014</v>
      </c>
    </row>
    <row r="13">
      <c r="A13" s="223">
        <v>44562.0</v>
      </c>
      <c r="B13" s="224">
        <v>411.44</v>
      </c>
      <c r="C13" s="225">
        <v>5569.06</v>
      </c>
      <c r="H13" s="227">
        <v>-0.0422</v>
      </c>
      <c r="I13" s="227">
        <v>0.001</v>
      </c>
      <c r="L13" s="120">
        <f>SLOPE(I4:I263,H4:H263)</f>
        <v>0.07330122841</v>
      </c>
    </row>
    <row r="14">
      <c r="A14" s="223">
        <v>44593.0</v>
      </c>
      <c r="B14" s="224">
        <v>523.75</v>
      </c>
      <c r="C14" s="225">
        <v>5611.85</v>
      </c>
      <c r="H14" s="227">
        <v>0.033</v>
      </c>
      <c r="I14" s="227">
        <v>-0.0063</v>
      </c>
    </row>
    <row r="15">
      <c r="A15" s="223">
        <v>44621.0</v>
      </c>
      <c r="B15" s="224">
        <v>474.96</v>
      </c>
      <c r="C15" s="225">
        <v>5954.5</v>
      </c>
      <c r="H15" s="227">
        <v>0.0035</v>
      </c>
      <c r="I15" s="227">
        <v>0.0031</v>
      </c>
    </row>
    <row r="16">
      <c r="A16" s="223">
        <v>44652.0</v>
      </c>
      <c r="B16" s="224">
        <v>542.49</v>
      </c>
      <c r="C16" s="225">
        <v>6040.53</v>
      </c>
      <c r="H16" s="227">
        <v>0.0306</v>
      </c>
      <c r="I16" s="227">
        <v>0.0373</v>
      </c>
    </row>
    <row r="17">
      <c r="A17" s="223">
        <v>44682.0</v>
      </c>
      <c r="B17" s="224">
        <v>505.86</v>
      </c>
      <c r="C17" s="225">
        <v>5881.63</v>
      </c>
      <c r="H17" s="227">
        <v>-0.0059</v>
      </c>
      <c r="I17" s="227">
        <v>-0.0195</v>
      </c>
    </row>
    <row r="18">
      <c r="A18" s="223">
        <v>44713.0</v>
      </c>
      <c r="B18" s="224">
        <v>610.2</v>
      </c>
      <c r="C18" s="225">
        <v>6032.38</v>
      </c>
      <c r="H18" s="227">
        <v>-0.0072</v>
      </c>
      <c r="I18" s="227">
        <v>8.0E-4</v>
      </c>
    </row>
    <row r="19">
      <c r="A19" s="223">
        <v>44743.0</v>
      </c>
      <c r="B19" s="224">
        <v>564.5</v>
      </c>
      <c r="C19" s="225">
        <v>5705.45</v>
      </c>
      <c r="H19" s="227">
        <v>-0.0508</v>
      </c>
      <c r="I19" s="227">
        <v>-0.0163</v>
      </c>
    </row>
    <row r="20">
      <c r="A20" s="223">
        <v>44774.0</v>
      </c>
      <c r="B20" s="224">
        <v>584.68</v>
      </c>
      <c r="C20" s="225">
        <v>5762.48</v>
      </c>
      <c r="H20" s="227">
        <v>-0.0578</v>
      </c>
      <c r="I20" s="227">
        <v>0.0071</v>
      </c>
    </row>
    <row r="21">
      <c r="A21" s="223">
        <v>44805.0</v>
      </c>
      <c r="B21" s="224">
        <v>590.2</v>
      </c>
      <c r="C21" s="225">
        <v>5648.4</v>
      </c>
      <c r="H21" s="227">
        <v>0.0165</v>
      </c>
      <c r="I21" s="227">
        <v>0.0192</v>
      </c>
    </row>
    <row r="22">
      <c r="A22" s="223">
        <v>44835.0</v>
      </c>
      <c r="B22" s="224">
        <v>576.16</v>
      </c>
      <c r="C22" s="225">
        <v>5522.3</v>
      </c>
      <c r="H22" s="227">
        <v>0.0059</v>
      </c>
      <c r="I22" s="227">
        <v>0.017</v>
      </c>
    </row>
    <row r="23">
      <c r="A23" s="223">
        <v>44866.0</v>
      </c>
      <c r="B23" s="224">
        <v>509.26</v>
      </c>
      <c r="C23" s="225">
        <v>5460.48</v>
      </c>
      <c r="H23" s="227">
        <v>-0.0158</v>
      </c>
      <c r="I23" s="227">
        <v>-0.0243</v>
      </c>
    </row>
    <row r="24">
      <c r="A24" s="223">
        <v>44896.0</v>
      </c>
      <c r="B24" s="224">
        <v>495.37</v>
      </c>
      <c r="C24" s="225">
        <v>5277.51</v>
      </c>
      <c r="H24" s="227">
        <v>0.0468</v>
      </c>
      <c r="I24" s="227">
        <v>0.0109</v>
      </c>
    </row>
    <row r="25">
      <c r="A25" s="223">
        <v>44927.0</v>
      </c>
      <c r="B25" s="224">
        <v>483.7</v>
      </c>
      <c r="C25" s="225">
        <v>5035.69</v>
      </c>
      <c r="H25" s="227">
        <v>0.0219</v>
      </c>
      <c r="I25" s="227">
        <v>-0.0031</v>
      </c>
    </row>
    <row r="26">
      <c r="A26" s="223">
        <v>44958.0</v>
      </c>
      <c r="B26" s="224">
        <v>494.7</v>
      </c>
      <c r="C26" s="225">
        <v>5254.35</v>
      </c>
      <c r="H26" s="227">
        <v>-0.0449</v>
      </c>
      <c r="I26" s="227">
        <v>0.0122</v>
      </c>
    </row>
    <row r="27">
      <c r="A27" s="223">
        <v>44986.0</v>
      </c>
      <c r="B27" s="224">
        <v>493.6</v>
      </c>
      <c r="C27" s="225">
        <v>5096.27</v>
      </c>
      <c r="H27" s="227">
        <v>0.1177</v>
      </c>
      <c r="I27" s="227">
        <v>0.0159</v>
      </c>
    </row>
    <row r="28">
      <c r="A28" s="223">
        <v>45017.0</v>
      </c>
      <c r="B28" s="224">
        <v>511.74</v>
      </c>
      <c r="C28" s="225">
        <v>4845.65</v>
      </c>
      <c r="H28" s="227">
        <v>0.0178</v>
      </c>
      <c r="I28" s="227">
        <v>0.0033</v>
      </c>
    </row>
    <row r="29">
      <c r="A29" s="223">
        <v>45047.0</v>
      </c>
      <c r="B29" s="224">
        <v>526.47</v>
      </c>
      <c r="C29" s="225">
        <v>4769.83</v>
      </c>
      <c r="H29" s="227">
        <v>0.008</v>
      </c>
      <c r="I29" s="227">
        <v>-0.001</v>
      </c>
    </row>
    <row r="30">
      <c r="A30" s="223">
        <v>45078.0</v>
      </c>
      <c r="B30" s="224">
        <v>552.97</v>
      </c>
      <c r="C30" s="225">
        <v>4567.8</v>
      </c>
      <c r="H30" s="227">
        <v>0.0112</v>
      </c>
      <c r="I30" s="227">
        <v>0.0027</v>
      </c>
    </row>
    <row r="31">
      <c r="A31" s="223">
        <v>45108.0</v>
      </c>
      <c r="B31" s="224">
        <v>535.56</v>
      </c>
      <c r="C31" s="225">
        <v>4193.8</v>
      </c>
      <c r="H31" s="227">
        <v>0.2117</v>
      </c>
      <c r="I31" s="227">
        <v>0.0094</v>
      </c>
    </row>
    <row r="32">
      <c r="A32" s="223">
        <v>45139.0</v>
      </c>
      <c r="B32" s="224">
        <v>504.19</v>
      </c>
      <c r="C32" s="225">
        <v>4288.05</v>
      </c>
      <c r="H32" s="227">
        <v>0.0552</v>
      </c>
      <c r="I32" s="227">
        <v>0.0243</v>
      </c>
    </row>
    <row r="33">
      <c r="A33" s="223">
        <v>45170.0</v>
      </c>
      <c r="B33" s="224">
        <v>476.58</v>
      </c>
      <c r="C33" s="225">
        <v>4507.66</v>
      </c>
      <c r="H33" s="227">
        <v>-0.154</v>
      </c>
      <c r="I33" s="227">
        <v>-0.0236</v>
      </c>
    </row>
    <row r="34">
      <c r="A34" s="223">
        <v>45200.0</v>
      </c>
      <c r="B34" s="224">
        <v>506.37</v>
      </c>
      <c r="C34" s="225">
        <v>4588.96</v>
      </c>
      <c r="H34" s="227">
        <v>-0.0056</v>
      </c>
      <c r="I34" s="227">
        <v>0.0146</v>
      </c>
    </row>
    <row r="35">
      <c r="A35" s="223">
        <v>45231.0</v>
      </c>
      <c r="B35" s="224">
        <v>480.64</v>
      </c>
      <c r="C35" s="225">
        <v>4450.38</v>
      </c>
      <c r="H35" s="227">
        <v>-0.0705</v>
      </c>
      <c r="I35" s="227">
        <v>0.0059</v>
      </c>
    </row>
    <row r="36">
      <c r="A36" s="223">
        <v>45261.0</v>
      </c>
      <c r="B36" s="224">
        <v>487.24</v>
      </c>
      <c r="C36" s="225">
        <v>4179.83</v>
      </c>
      <c r="H36" s="227">
        <v>-0.0144</v>
      </c>
      <c r="I36" s="227">
        <v>-0.0031</v>
      </c>
    </row>
    <row r="37">
      <c r="A37" s="223">
        <v>45292.0</v>
      </c>
      <c r="B37" s="224">
        <v>492.09</v>
      </c>
      <c r="C37" s="225">
        <v>4169.48</v>
      </c>
      <c r="H37" s="227">
        <v>-0.0018</v>
      </c>
      <c r="I37" s="227">
        <v>0.0172</v>
      </c>
    </row>
    <row r="38">
      <c r="A38" s="223">
        <v>45323.0</v>
      </c>
      <c r="B38" s="224">
        <v>472.59</v>
      </c>
      <c r="C38" s="225">
        <v>4109.31</v>
      </c>
      <c r="H38" s="227">
        <v>0.0235</v>
      </c>
      <c r="I38" s="227">
        <v>0.0344</v>
      </c>
    </row>
    <row r="39">
      <c r="A39" s="223">
        <v>45352.0</v>
      </c>
      <c r="B39" s="224">
        <v>475.94</v>
      </c>
      <c r="C39" s="225">
        <v>3970.15</v>
      </c>
      <c r="H39" s="227">
        <v>-0.0367</v>
      </c>
      <c r="I39" s="227">
        <v>-0.0015</v>
      </c>
    </row>
    <row r="40">
      <c r="A40" s="223">
        <v>45383.0</v>
      </c>
      <c r="B40" s="224">
        <v>499.19</v>
      </c>
      <c r="C40" s="225">
        <v>4076.6</v>
      </c>
      <c r="H40" s="227">
        <v>0.034</v>
      </c>
      <c r="I40" s="227">
        <v>-0.0039</v>
      </c>
    </row>
    <row r="41">
      <c r="A41" s="223">
        <v>45413.0</v>
      </c>
      <c r="B41" s="224">
        <v>530.18</v>
      </c>
      <c r="C41" s="225">
        <v>3839.5</v>
      </c>
      <c r="H41" s="227">
        <v>0.0043</v>
      </c>
      <c r="I41" s="227">
        <v>0.015</v>
      </c>
    </row>
    <row r="42">
      <c r="A42" s="223">
        <v>45444.0</v>
      </c>
      <c r="B42" s="224">
        <v>547.76</v>
      </c>
      <c r="C42" s="225">
        <v>4080.11</v>
      </c>
      <c r="H42" s="227">
        <v>0.0215</v>
      </c>
      <c r="I42" s="227">
        <v>0.0188</v>
      </c>
    </row>
    <row r="43">
      <c r="A43" s="223">
        <v>45474.0</v>
      </c>
      <c r="B43" s="224">
        <v>555.15</v>
      </c>
      <c r="C43" s="225">
        <v>3871.98</v>
      </c>
      <c r="H43" s="227">
        <v>0.0125</v>
      </c>
      <c r="I43" s="227">
        <v>-0.0261</v>
      </c>
    </row>
    <row r="44">
      <c r="A44" s="223">
        <v>45505.0</v>
      </c>
      <c r="B44" s="224">
        <v>505.04</v>
      </c>
      <c r="C44" s="225">
        <v>3585.62</v>
      </c>
      <c r="H44" s="227">
        <v>-0.2331</v>
      </c>
      <c r="I44" s="227">
        <v>0.0527</v>
      </c>
    </row>
    <row r="45">
      <c r="A45" s="223">
        <v>45536.0</v>
      </c>
      <c r="B45" s="224">
        <v>519.33</v>
      </c>
      <c r="C45" s="225">
        <v>3955.0</v>
      </c>
      <c r="H45" s="227">
        <v>-0.0482</v>
      </c>
      <c r="I45" s="227">
        <v>-0.0047</v>
      </c>
    </row>
    <row r="46">
      <c r="A46" s="223">
        <v>45566.0</v>
      </c>
      <c r="B46" s="224">
        <v>542.34</v>
      </c>
      <c r="C46" s="225">
        <v>4130.29</v>
      </c>
      <c r="H46" s="227">
        <v>-0.0447</v>
      </c>
      <c r="I46" s="227">
        <v>0.0292</v>
      </c>
    </row>
    <row r="47">
      <c r="A47" s="223">
        <v>45597.0</v>
      </c>
      <c r="B47" s="224">
        <v>513.63</v>
      </c>
      <c r="C47" s="225">
        <v>3785.38</v>
      </c>
      <c r="H47" s="227">
        <v>-0.0781</v>
      </c>
      <c r="I47" s="227">
        <v>0.0459</v>
      </c>
    </row>
    <row r="48">
      <c r="A48" s="223">
        <v>45627.0</v>
      </c>
      <c r="B48" s="224">
        <v>496.78</v>
      </c>
      <c r="C48" s="225">
        <v>4132.15</v>
      </c>
      <c r="H48" s="227">
        <v>-0.2425</v>
      </c>
      <c r="I48" s="227">
        <v>-0.015</v>
      </c>
    </row>
    <row r="49">
      <c r="A49" s="223">
        <v>45658.0</v>
      </c>
      <c r="B49" s="224">
        <v>508.55</v>
      </c>
      <c r="C49" s="225">
        <v>4131.93</v>
      </c>
      <c r="H49" s="227">
        <v>0.1417</v>
      </c>
      <c r="I49" s="227">
        <v>0.057</v>
      </c>
    </row>
    <row r="50">
      <c r="A50" s="223">
        <v>45689.0</v>
      </c>
      <c r="B50" s="224">
        <v>509.97</v>
      </c>
      <c r="C50" s="225">
        <v>4530.41</v>
      </c>
      <c r="H50" s="227">
        <v>0.0175</v>
      </c>
      <c r="I50" s="227">
        <v>-0.0908</v>
      </c>
    </row>
    <row r="51">
      <c r="A51" s="223">
        <v>45717.0</v>
      </c>
      <c r="B51" s="224">
        <v>475.87</v>
      </c>
      <c r="C51" s="225">
        <v>4373.94</v>
      </c>
      <c r="H51" s="227">
        <v>-0.0016</v>
      </c>
      <c r="I51" s="227">
        <v>-0.0153</v>
      </c>
    </row>
    <row r="52">
      <c r="A52" s="223">
        <v>45748.0</v>
      </c>
      <c r="B52" s="224">
        <v>472.57</v>
      </c>
      <c r="C52" s="225">
        <v>4515.55</v>
      </c>
      <c r="H52" s="227">
        <v>0.0577</v>
      </c>
      <c r="I52" s="227">
        <v>0.0051</v>
      </c>
    </row>
    <row r="53">
      <c r="A53" s="223">
        <v>45778.0</v>
      </c>
      <c r="B53" s="224">
        <v>502.14</v>
      </c>
      <c r="C53" s="225">
        <v>4766.18</v>
      </c>
      <c r="H53" s="227">
        <v>-0.0098</v>
      </c>
      <c r="I53" s="227">
        <v>-0.0227</v>
      </c>
    </row>
    <row r="54">
      <c r="A54" s="223">
        <v>45809.0</v>
      </c>
      <c r="B54" s="224">
        <v>444.22</v>
      </c>
      <c r="C54" s="225">
        <v>4567.0</v>
      </c>
      <c r="H54" s="227">
        <v>0.039</v>
      </c>
      <c r="I54" s="227">
        <v>-0.031</v>
      </c>
    </row>
    <row r="55">
      <c r="A55" s="223">
        <v>45839.0</v>
      </c>
      <c r="B55" s="224">
        <v>460.47</v>
      </c>
      <c r="C55" s="225">
        <v>4605.38</v>
      </c>
      <c r="H55" s="227">
        <v>0.0183</v>
      </c>
      <c r="I55" s="227">
        <v>-0.0098</v>
      </c>
    </row>
    <row r="56">
      <c r="A56" s="223">
        <v>45870.0</v>
      </c>
      <c r="B56" s="224">
        <v>390.74</v>
      </c>
      <c r="C56" s="225">
        <v>4307.54</v>
      </c>
      <c r="H56" s="227">
        <v>-0.1091</v>
      </c>
      <c r="I56" s="227">
        <v>-0.0166</v>
      </c>
    </row>
    <row r="57">
      <c r="A57" s="223">
        <v>45901.0</v>
      </c>
      <c r="B57" s="224">
        <v>416.27</v>
      </c>
      <c r="C57" s="225">
        <v>4522.68</v>
      </c>
      <c r="H57" s="227">
        <v>-0.0067</v>
      </c>
      <c r="I57" s="227">
        <v>0.0147</v>
      </c>
    </row>
    <row r="58">
      <c r="A58" s="223">
        <v>45931.0</v>
      </c>
      <c r="B58" s="224">
        <v>412.22</v>
      </c>
      <c r="C58" s="225">
        <v>4395.26</v>
      </c>
      <c r="H58" s="227">
        <v>-0.0285</v>
      </c>
      <c r="I58" s="227">
        <v>-0.0024</v>
      </c>
    </row>
    <row r="59">
      <c r="A59" s="223">
        <v>45962.0</v>
      </c>
      <c r="B59" s="224">
        <v>400.44</v>
      </c>
      <c r="C59" s="225">
        <v>4297.5</v>
      </c>
      <c r="H59" s="227">
        <v>0.0187</v>
      </c>
      <c r="I59" s="227">
        <v>-0.01</v>
      </c>
    </row>
    <row r="60">
      <c r="A60" s="223">
        <v>45992.0</v>
      </c>
      <c r="B60" s="224">
        <v>411.92</v>
      </c>
      <c r="C60" s="225">
        <v>4204.11</v>
      </c>
      <c r="H60" s="227">
        <v>0.0446</v>
      </c>
      <c r="I60" s="227">
        <v>0.0174</v>
      </c>
    </row>
    <row r="61">
      <c r="A61" s="223">
        <v>46023.0</v>
      </c>
      <c r="B61" s="224">
        <v>398.8</v>
      </c>
      <c r="C61" s="225">
        <v>4181.17</v>
      </c>
      <c r="H61" s="227">
        <v>-0.021</v>
      </c>
      <c r="I61" s="227">
        <v>0.0291</v>
      </c>
    </row>
    <row r="62">
      <c r="A62" s="223">
        <v>46054.0</v>
      </c>
      <c r="B62" s="224">
        <v>372.07</v>
      </c>
      <c r="C62" s="225">
        <v>3972.89</v>
      </c>
      <c r="H62" s="227">
        <v>0.015</v>
      </c>
      <c r="I62" s="227">
        <v>-0.0194</v>
      </c>
    </row>
    <row r="63">
      <c r="A63" s="223"/>
      <c r="B63" s="119"/>
      <c r="H63" s="227">
        <v>0.0059</v>
      </c>
      <c r="I63" s="227">
        <v>-0.0048</v>
      </c>
    </row>
    <row r="64">
      <c r="H64" s="227">
        <v>0.0197</v>
      </c>
      <c r="I64" s="227">
        <v>0.0067</v>
      </c>
    </row>
    <row r="65">
      <c r="H65" s="227">
        <v>-0.0391</v>
      </c>
      <c r="I65" s="227">
        <v>-0.0199</v>
      </c>
    </row>
    <row r="66">
      <c r="H66" s="227">
        <v>-0.053</v>
      </c>
      <c r="I66" s="227">
        <v>-0.0064</v>
      </c>
    </row>
    <row r="67">
      <c r="H67" s="227">
        <v>-0.0993</v>
      </c>
      <c r="I67" s="227">
        <v>0.0096</v>
      </c>
    </row>
    <row r="68">
      <c r="H68" s="227">
        <v>0.0327</v>
      </c>
      <c r="I68" s="227">
        <v>0.0106</v>
      </c>
    </row>
    <row r="69">
      <c r="H69" s="227">
        <v>-0.0023</v>
      </c>
      <c r="I69" s="227">
        <v>0.0168</v>
      </c>
    </row>
    <row r="70">
      <c r="H70" s="227">
        <v>-0.0383</v>
      </c>
      <c r="I70" s="227">
        <v>-0.0208</v>
      </c>
    </row>
    <row r="71">
      <c r="H71" s="227">
        <v>0.085</v>
      </c>
      <c r="I71" s="227">
        <v>0.0466</v>
      </c>
    </row>
    <row r="72">
      <c r="H72" s="227">
        <v>0.0053</v>
      </c>
      <c r="I72" s="227">
        <v>-0.0137</v>
      </c>
    </row>
    <row r="73">
      <c r="H73" s="227">
        <v>-0.0089</v>
      </c>
      <c r="I73" s="227">
        <v>-0.0096</v>
      </c>
    </row>
    <row r="74">
      <c r="H74" s="227">
        <v>-0.0476</v>
      </c>
      <c r="I74" s="227">
        <v>0.0085</v>
      </c>
    </row>
    <row r="75">
      <c r="H75" s="227">
        <v>0.0116</v>
      </c>
      <c r="I75" s="227">
        <v>0.0111</v>
      </c>
    </row>
    <row r="76">
      <c r="H76" s="227">
        <v>0.0161</v>
      </c>
      <c r="I76" s="227">
        <v>0.0022</v>
      </c>
    </row>
    <row r="77">
      <c r="H77" s="227">
        <v>0.0119</v>
      </c>
      <c r="I77" s="227">
        <v>0.0062</v>
      </c>
    </row>
    <row r="78">
      <c r="H78" s="227">
        <v>-0.0325</v>
      </c>
      <c r="I78" s="227">
        <v>0.0136</v>
      </c>
    </row>
    <row r="79">
      <c r="H79" s="227">
        <v>-0.0043</v>
      </c>
      <c r="I79" s="227">
        <v>0.0402</v>
      </c>
    </row>
    <row r="80">
      <c r="H80" s="227">
        <v>0.0113</v>
      </c>
      <c r="I80" s="227">
        <v>-0.0425</v>
      </c>
    </row>
    <row r="81">
      <c r="H81" s="227">
        <v>0.0097</v>
      </c>
      <c r="I81" s="227">
        <v>0.0024</v>
      </c>
    </row>
    <row r="82">
      <c r="H82" s="227">
        <v>0.0118</v>
      </c>
      <c r="I82" s="227">
        <v>0.0145</v>
      </c>
    </row>
    <row r="83">
      <c r="H83" s="227">
        <v>0.0339</v>
      </c>
      <c r="I83" s="227">
        <v>0.0393</v>
      </c>
    </row>
    <row r="84">
      <c r="H84" s="227">
        <v>-0.0527</v>
      </c>
      <c r="I84" s="227">
        <v>-4.0E-4</v>
      </c>
    </row>
    <row r="85">
      <c r="H85" s="227">
        <v>0.0353</v>
      </c>
      <c r="I85" s="227">
        <v>-0.0206</v>
      </c>
    </row>
    <row r="86">
      <c r="H86" s="227">
        <v>0.0078</v>
      </c>
      <c r="I86" s="227">
        <v>-0.0083</v>
      </c>
    </row>
    <row r="87">
      <c r="H87" s="227">
        <v>0.1052</v>
      </c>
      <c r="I87" s="227">
        <v>-0.0197</v>
      </c>
    </row>
    <row r="88">
      <c r="H88" s="227">
        <v>0.0482</v>
      </c>
      <c r="I88" s="227">
        <v>0.0087</v>
      </c>
    </row>
    <row r="89">
      <c r="H89" s="227">
        <v>-0.0417</v>
      </c>
      <c r="I89" s="227">
        <v>0.0195</v>
      </c>
    </row>
    <row r="90">
      <c r="H90" s="227">
        <v>0.0553</v>
      </c>
      <c r="I90" s="227">
        <v>-8.0E-4</v>
      </c>
    </row>
    <row r="91">
      <c r="H91" s="227">
        <v>-0.0292</v>
      </c>
      <c r="I91" s="227">
        <v>0.0061</v>
      </c>
    </row>
    <row r="92">
      <c r="H92" s="227">
        <v>0.0131</v>
      </c>
      <c r="I92" s="227">
        <v>0.0158</v>
      </c>
    </row>
    <row r="93">
      <c r="H93" s="227">
        <v>-0.0094</v>
      </c>
      <c r="I93" s="227">
        <v>0.0132</v>
      </c>
    </row>
    <row r="94">
      <c r="H94" s="227">
        <v>-0.0252</v>
      </c>
      <c r="I94" s="227">
        <v>-0.0051</v>
      </c>
    </row>
    <row r="95">
      <c r="H95" s="227">
        <v>-0.0314</v>
      </c>
      <c r="I95" s="227">
        <v>3.0E-4</v>
      </c>
    </row>
    <row r="96">
      <c r="H96" s="227">
        <v>0.023</v>
      </c>
      <c r="I96" s="227">
        <v>0.0154</v>
      </c>
    </row>
    <row r="97">
      <c r="H97" s="227">
        <v>0.0413</v>
      </c>
      <c r="I97" s="227">
        <v>0.0185</v>
      </c>
    </row>
    <row r="98">
      <c r="H98" s="227">
        <v>-0.0059</v>
      </c>
      <c r="I98" s="227">
        <v>0.0055</v>
      </c>
    </row>
    <row r="99">
      <c r="H99" s="227">
        <v>-0.0115</v>
      </c>
      <c r="I99" s="227">
        <v>0.0267</v>
      </c>
    </row>
    <row r="100">
      <c r="H100" s="227">
        <v>0.141</v>
      </c>
      <c r="I100" s="227">
        <v>-0.0305</v>
      </c>
    </row>
    <row r="101">
      <c r="H101" s="227">
        <v>-0.0363</v>
      </c>
      <c r="I101" s="227">
        <v>-0.0156</v>
      </c>
    </row>
    <row r="102">
      <c r="H102" s="227">
        <v>-0.0788</v>
      </c>
      <c r="I102" s="227">
        <v>-0.0095</v>
      </c>
    </row>
    <row r="103">
      <c r="H103" s="227">
        <v>0.0094</v>
      </c>
      <c r="I103" s="227">
        <v>0.0039</v>
      </c>
    </row>
    <row r="104">
      <c r="H104" s="227">
        <v>-0.0015</v>
      </c>
      <c r="I104" s="227">
        <v>0.0229</v>
      </c>
    </row>
    <row r="105">
      <c r="H105" s="227">
        <v>0.0299</v>
      </c>
      <c r="I105" s="227">
        <v>-0.0013</v>
      </c>
    </row>
    <row r="106">
      <c r="H106" s="227">
        <v>-0.0265</v>
      </c>
      <c r="I106" s="227">
        <v>-0.0026</v>
      </c>
    </row>
    <row r="107">
      <c r="H107" s="227">
        <v>-0.0715</v>
      </c>
      <c r="I107" s="227">
        <v>0.0095</v>
      </c>
    </row>
    <row r="108">
      <c r="H108" s="227">
        <v>0.0109</v>
      </c>
      <c r="I108" s="227">
        <v>0.0166</v>
      </c>
    </row>
    <row r="109">
      <c r="H109" s="227">
        <v>0.0064</v>
      </c>
      <c r="I109" s="227">
        <v>-0.0042</v>
      </c>
    </row>
    <row r="110">
      <c r="H110" s="227">
        <v>0.0157</v>
      </c>
      <c r="I110" s="227">
        <v>0.0137</v>
      </c>
    </row>
    <row r="111">
      <c r="H111" s="227">
        <v>0.014</v>
      </c>
      <c r="I111" s="227">
        <v>0.0138</v>
      </c>
    </row>
    <row r="112">
      <c r="H112" s="227">
        <v>-7.0E-4</v>
      </c>
      <c r="I112" s="227">
        <v>0.0106</v>
      </c>
    </row>
    <row r="113">
      <c r="H113" s="227">
        <v>-0.0344</v>
      </c>
      <c r="I113" s="227">
        <v>0.0117</v>
      </c>
    </row>
    <row r="114">
      <c r="H114" s="227">
        <v>-0.0295</v>
      </c>
      <c r="I114" s="227">
        <v>0.0184</v>
      </c>
    </row>
    <row r="115">
      <c r="H115" s="227">
        <v>0.0207</v>
      </c>
      <c r="I115" s="227">
        <v>-0.0152</v>
      </c>
    </row>
    <row r="116">
      <c r="H116" s="227">
        <v>0.0118</v>
      </c>
      <c r="I116" s="227">
        <v>0.0032</v>
      </c>
    </row>
    <row r="117">
      <c r="H117" s="227">
        <v>-0.0204</v>
      </c>
      <c r="I117" s="227">
        <v>0.0075</v>
      </c>
    </row>
    <row r="118">
      <c r="H118" s="227">
        <v>-0.0339</v>
      </c>
      <c r="I118" s="227">
        <v>0.0249</v>
      </c>
    </row>
    <row r="119">
      <c r="H119" s="227">
        <v>0.0048</v>
      </c>
      <c r="I119" s="227">
        <v>0.0021</v>
      </c>
    </row>
    <row r="120">
      <c r="H120" s="227">
        <v>1.0E-4</v>
      </c>
      <c r="I120" s="227">
        <v>0.0077</v>
      </c>
    </row>
    <row r="121">
      <c r="H121" s="227">
        <v>0.0202</v>
      </c>
      <c r="I121" s="227">
        <v>0.01</v>
      </c>
    </row>
    <row r="122">
      <c r="H122" s="227">
        <v>-0.0091</v>
      </c>
      <c r="I122" s="227">
        <v>0.0224</v>
      </c>
    </row>
    <row r="123">
      <c r="H123" s="227">
        <v>0.0194</v>
      </c>
      <c r="I123" s="227">
        <v>0.0131</v>
      </c>
    </row>
    <row r="124">
      <c r="H124" s="227">
        <v>0.0119</v>
      </c>
      <c r="I124" s="227">
        <v>0.0585</v>
      </c>
    </row>
    <row r="125">
      <c r="H125" s="227">
        <v>-0.0045</v>
      </c>
      <c r="I125" s="227">
        <v>-0.0253</v>
      </c>
    </row>
    <row r="126">
      <c r="H126" s="227">
        <v>-0.0229</v>
      </c>
      <c r="I126" s="227">
        <v>-0.0239</v>
      </c>
    </row>
    <row r="127">
      <c r="H127" s="227">
        <v>0.0278</v>
      </c>
      <c r="I127" s="227">
        <v>0.0045</v>
      </c>
    </row>
    <row r="128">
      <c r="H128" s="227">
        <v>0.0409</v>
      </c>
      <c r="I128" s="227">
        <v>0.0048</v>
      </c>
    </row>
    <row r="129">
      <c r="H129" s="227">
        <v>-0.0038</v>
      </c>
      <c r="I129" s="227">
        <v>-0.0074</v>
      </c>
    </row>
    <row r="130">
      <c r="H130" s="227">
        <v>0.0399</v>
      </c>
      <c r="I130" s="227">
        <v>-0.0293</v>
      </c>
    </row>
    <row r="131">
      <c r="H131" s="227">
        <v>0.0123</v>
      </c>
      <c r="I131" s="227">
        <v>-0.0016</v>
      </c>
    </row>
    <row r="132">
      <c r="H132" s="227">
        <v>0.0095</v>
      </c>
      <c r="I132" s="227">
        <v>-0.0129</v>
      </c>
    </row>
    <row r="133">
      <c r="H133" s="227">
        <v>-0.0263</v>
      </c>
      <c r="I133" s="227">
        <v>0.025</v>
      </c>
    </row>
    <row r="134">
      <c r="H134" s="227">
        <v>-0.0187</v>
      </c>
      <c r="I134" s="227">
        <v>0.0082</v>
      </c>
    </row>
    <row r="135">
      <c r="H135" s="227">
        <v>-0.0188</v>
      </c>
      <c r="I135" s="227">
        <v>-0.0211</v>
      </c>
    </row>
    <row r="136">
      <c r="H136" s="227">
        <v>0.0105</v>
      </c>
      <c r="I136" s="227">
        <v>-0.0031</v>
      </c>
    </row>
    <row r="137">
      <c r="H137" s="227">
        <v>-4.0E-4</v>
      </c>
      <c r="I137" s="227">
        <v>-0.0227</v>
      </c>
    </row>
    <row r="138">
      <c r="H138" s="227">
        <v>-0.0071</v>
      </c>
      <c r="I138" s="227">
        <v>0.0101</v>
      </c>
    </row>
    <row r="139">
      <c r="H139" s="227">
        <v>0.0549</v>
      </c>
      <c r="I139" s="227">
        <v>0.0069</v>
      </c>
    </row>
    <row r="140">
      <c r="H140" s="227">
        <v>0.0403</v>
      </c>
      <c r="I140" s="227">
        <v>0.0242</v>
      </c>
    </row>
    <row r="141">
      <c r="H141" s="227">
        <v>-0.0397</v>
      </c>
      <c r="I141" s="227">
        <v>-0.0116</v>
      </c>
    </row>
    <row r="142">
      <c r="H142" s="227">
        <v>0.0076</v>
      </c>
      <c r="I142" s="227">
        <v>0.0235</v>
      </c>
    </row>
    <row r="143">
      <c r="H143" s="227">
        <v>0.0404</v>
      </c>
      <c r="I143" s="227">
        <v>-0.0139</v>
      </c>
    </row>
    <row r="144">
      <c r="H144" s="227">
        <v>-0.0712</v>
      </c>
      <c r="I144" s="227">
        <v>0.0258</v>
      </c>
    </row>
    <row r="145">
      <c r="H145" s="227">
        <v>-0.0119</v>
      </c>
      <c r="I145" s="227">
        <v>0.0039</v>
      </c>
    </row>
    <row r="146">
      <c r="H146" s="227">
        <v>0.0375</v>
      </c>
      <c r="I146" s="227">
        <v>0.0183</v>
      </c>
    </row>
    <row r="147">
      <c r="H147" s="227">
        <v>0.0056</v>
      </c>
      <c r="I147" s="227">
        <v>0.0032</v>
      </c>
    </row>
    <row r="148">
      <c r="H148" s="227">
        <v>-0.0253</v>
      </c>
      <c r="I148" s="227">
        <v>0.0165</v>
      </c>
    </row>
    <row r="149">
      <c r="H149" s="227">
        <v>-0.0062</v>
      </c>
      <c r="I149" s="227">
        <v>-0.0029</v>
      </c>
    </row>
    <row r="150">
      <c r="H150" s="227">
        <v>0.0045</v>
      </c>
      <c r="I150" s="227">
        <v>-0.008</v>
      </c>
    </row>
    <row r="151">
      <c r="H151" s="227">
        <v>0.0171</v>
      </c>
      <c r="I151" s="227">
        <v>0.0087</v>
      </c>
    </row>
    <row r="152">
      <c r="H152" s="227">
        <v>-0.0547</v>
      </c>
      <c r="I152" s="227">
        <v>-0.001</v>
      </c>
    </row>
    <row r="153">
      <c r="H153" s="227">
        <v>-0.002</v>
      </c>
      <c r="I153" s="227">
        <v>0.0079</v>
      </c>
    </row>
    <row r="154">
      <c r="H154" s="227">
        <v>0.0851</v>
      </c>
      <c r="I154" s="227">
        <v>-0.001</v>
      </c>
    </row>
    <row r="155">
      <c r="H155" s="227">
        <v>-0.0071</v>
      </c>
      <c r="I155" s="227">
        <v>0.0348</v>
      </c>
    </row>
    <row r="156">
      <c r="H156" s="227">
        <v>0.0138</v>
      </c>
      <c r="I156" s="227">
        <v>0.0139</v>
      </c>
    </row>
    <row r="157">
      <c r="H157" s="227">
        <v>0.0199</v>
      </c>
      <c r="I157" s="227">
        <v>0.0143</v>
      </c>
    </row>
    <row r="158">
      <c r="H158" s="227">
        <v>-0.0381</v>
      </c>
      <c r="I158" s="227">
        <v>-0.0455</v>
      </c>
    </row>
    <row r="159">
      <c r="H159" s="227">
        <v>-0.0119</v>
      </c>
      <c r="I159" s="227">
        <v>0.019</v>
      </c>
    </row>
    <row r="160">
      <c r="H160" s="227">
        <v>-0.0296</v>
      </c>
      <c r="I160" s="227">
        <v>-0.0267</v>
      </c>
    </row>
    <row r="161">
      <c r="H161" s="227">
        <v>0.0098</v>
      </c>
      <c r="I161" s="227">
        <v>-0.0028</v>
      </c>
    </row>
    <row r="162">
      <c r="H162" s="227">
        <v>0.0471</v>
      </c>
      <c r="I162" s="227">
        <v>-0.0111</v>
      </c>
    </row>
    <row r="163">
      <c r="H163" s="227">
        <v>-0.0289</v>
      </c>
      <c r="I163" s="227">
        <v>0.0162</v>
      </c>
    </row>
    <row r="164">
      <c r="H164" s="227">
        <v>-0.0014</v>
      </c>
      <c r="I164" s="227">
        <v>0.0247</v>
      </c>
    </row>
    <row r="165">
      <c r="H165" s="227">
        <v>-0.0058</v>
      </c>
      <c r="I165" s="227">
        <v>-0.0066</v>
      </c>
    </row>
    <row r="166">
      <c r="H166" s="227">
        <v>-9.0E-4</v>
      </c>
      <c r="I166" s="227">
        <v>0.0267</v>
      </c>
    </row>
    <row r="167">
      <c r="H167" s="227">
        <v>-0.0758</v>
      </c>
      <c r="I167" s="227">
        <v>0.0145</v>
      </c>
    </row>
    <row r="168">
      <c r="H168" s="227">
        <v>-0.0021</v>
      </c>
      <c r="I168" s="227">
        <v>-0.0014</v>
      </c>
    </row>
    <row r="169">
      <c r="H169" s="227">
        <v>0.0145</v>
      </c>
      <c r="I169" s="227">
        <v>-0.002</v>
      </c>
    </row>
    <row r="170">
      <c r="H170" s="227">
        <v>-0.0287</v>
      </c>
      <c r="I170" s="227">
        <v>-0.0208</v>
      </c>
    </row>
    <row r="171">
      <c r="H171" s="227">
        <v>0.0057</v>
      </c>
      <c r="I171" s="227">
        <v>-0.0337</v>
      </c>
    </row>
    <row r="172">
      <c r="H172" s="227">
        <v>-0.0027</v>
      </c>
      <c r="I172" s="227">
        <v>0.0113</v>
      </c>
    </row>
    <row r="173">
      <c r="H173" s="227">
        <v>0.0144</v>
      </c>
      <c r="I173" s="227">
        <v>0.0153</v>
      </c>
    </row>
    <row r="174">
      <c r="H174" s="227">
        <v>0.0152</v>
      </c>
      <c r="I174" s="227">
        <v>-0.0069</v>
      </c>
    </row>
    <row r="175">
      <c r="H175" s="227">
        <v>-0.0299</v>
      </c>
      <c r="I175" s="227">
        <v>0.059</v>
      </c>
    </row>
    <row r="176">
      <c r="H176" s="227">
        <v>-0.0237</v>
      </c>
      <c r="I176" s="227">
        <v>-0.0335</v>
      </c>
    </row>
    <row r="177">
      <c r="H177" s="227">
        <v>0.0328</v>
      </c>
      <c r="I177" s="227">
        <v>0.0395</v>
      </c>
    </row>
    <row r="178">
      <c r="H178" s="227">
        <v>0.0401</v>
      </c>
      <c r="I178" s="227">
        <v>0.0474</v>
      </c>
    </row>
    <row r="179">
      <c r="H179" s="227">
        <v>0.0164</v>
      </c>
      <c r="I179" s="227">
        <v>-0.0155</v>
      </c>
    </row>
    <row r="180">
      <c r="H180" s="227">
        <v>-4.0E-4</v>
      </c>
      <c r="I180" s="227">
        <v>0.0151</v>
      </c>
    </row>
    <row r="181">
      <c r="H181" s="227">
        <v>-0.0167</v>
      </c>
      <c r="I181" s="227">
        <v>-0.0291</v>
      </c>
    </row>
    <row r="182">
      <c r="H182" s="227">
        <v>-0.0142</v>
      </c>
      <c r="I182" s="227">
        <v>-0.0465</v>
      </c>
    </row>
    <row r="183">
      <c r="H183" s="227">
        <v>-0.0063</v>
      </c>
      <c r="I183" s="227">
        <v>-0.0477</v>
      </c>
    </row>
    <row r="184">
      <c r="H184" s="227">
        <v>0.0155</v>
      </c>
      <c r="I184" s="227">
        <v>0.0365</v>
      </c>
    </row>
    <row r="185">
      <c r="H185" s="227">
        <v>-0.0244</v>
      </c>
      <c r="I185" s="227">
        <v>-0.0329</v>
      </c>
    </row>
    <row r="186">
      <c r="H186" s="227">
        <v>-0.0348</v>
      </c>
      <c r="I186" s="227">
        <v>-0.0404</v>
      </c>
    </row>
    <row r="187">
      <c r="H187" s="227">
        <v>0.0085</v>
      </c>
      <c r="I187" s="227">
        <v>-0.0121</v>
      </c>
    </row>
    <row r="188">
      <c r="H188" s="227">
        <v>0.0161</v>
      </c>
      <c r="I188" s="227">
        <v>0.0326</v>
      </c>
    </row>
    <row r="189">
      <c r="H189" s="227">
        <v>-0.0134</v>
      </c>
      <c r="I189" s="227">
        <v>0.0036</v>
      </c>
    </row>
    <row r="190">
      <c r="H190" s="227">
        <v>0.0401</v>
      </c>
      <c r="I190" s="227">
        <v>0.0426</v>
      </c>
    </row>
    <row r="191">
      <c r="H191" s="227">
        <v>-0.0157</v>
      </c>
      <c r="I191" s="227">
        <v>0.0255</v>
      </c>
    </row>
    <row r="192">
      <c r="H192" s="227">
        <v>0.0214</v>
      </c>
      <c r="I192" s="227">
        <v>-0.0093</v>
      </c>
    </row>
    <row r="193">
      <c r="H193" s="227">
        <v>0.0024</v>
      </c>
      <c r="I193" s="227">
        <v>0.0194</v>
      </c>
    </row>
    <row r="194">
      <c r="H194" s="227">
        <v>0.0439</v>
      </c>
      <c r="I194" s="227">
        <v>-0.0221</v>
      </c>
    </row>
    <row r="195">
      <c r="H195" s="227">
        <v>0.0964</v>
      </c>
      <c r="I195" s="227">
        <v>0.0645</v>
      </c>
    </row>
    <row r="196">
      <c r="H196" s="227">
        <v>-0.0672</v>
      </c>
      <c r="I196" s="227">
        <v>-0.0579</v>
      </c>
    </row>
    <row r="197">
      <c r="H197" s="227">
        <v>-0.002</v>
      </c>
      <c r="I197" s="227">
        <v>-0.0505</v>
      </c>
    </row>
    <row r="198">
      <c r="H198" s="227">
        <v>-0.0424</v>
      </c>
      <c r="I198" s="227">
        <v>-0.012</v>
      </c>
    </row>
    <row r="199">
      <c r="H199" s="227">
        <v>0.044</v>
      </c>
      <c r="I199" s="227">
        <v>0.0658</v>
      </c>
    </row>
    <row r="200">
      <c r="H200" s="227">
        <v>7.0E-4</v>
      </c>
      <c r="I200" s="227">
        <v>-0.0305</v>
      </c>
    </row>
    <row r="201">
      <c r="H201" s="227">
        <v>-0.0285</v>
      </c>
      <c r="I201" s="227">
        <v>-0.0241</v>
      </c>
    </row>
    <row r="202">
      <c r="H202" s="227">
        <v>-0.0176</v>
      </c>
      <c r="I202" s="227">
        <v>-0.0021</v>
      </c>
    </row>
    <row r="203">
      <c r="H203" s="227">
        <v>-0.0238</v>
      </c>
      <c r="I203" s="227">
        <v>-0.0327</v>
      </c>
    </row>
    <row r="204">
      <c r="H204" s="227">
        <v>-0.026</v>
      </c>
      <c r="I204" s="227">
        <v>-0.0275</v>
      </c>
    </row>
    <row r="205">
      <c r="H205" s="227">
        <v>-0.0204</v>
      </c>
      <c r="I205" s="227">
        <v>-0.0213</v>
      </c>
    </row>
    <row r="206">
      <c r="H206" s="227">
        <v>0.0651</v>
      </c>
      <c r="I206" s="227">
        <v>-0.0127</v>
      </c>
    </row>
    <row r="207">
      <c r="H207" s="227">
        <v>-9.0E-4</v>
      </c>
      <c r="I207" s="227">
        <v>6.0E-4</v>
      </c>
    </row>
    <row r="208">
      <c r="H208" s="227">
        <v>0.0137</v>
      </c>
      <c r="I208" s="227">
        <v>0.0179</v>
      </c>
    </row>
    <row r="209">
      <c r="H209" s="227">
        <v>0.0481</v>
      </c>
      <c r="I209" s="227">
        <v>0.0616</v>
      </c>
    </row>
    <row r="210">
      <c r="H210" s="227">
        <v>-0.0316</v>
      </c>
      <c r="I210" s="227">
        <v>-0.0288</v>
      </c>
    </row>
    <row r="211">
      <c r="H211" s="227">
        <v>0.0481</v>
      </c>
      <c r="I211" s="227">
        <v>-0.0127</v>
      </c>
    </row>
    <row r="212">
      <c r="H212" s="227">
        <v>0.017</v>
      </c>
      <c r="I212" s="227">
        <v>0.0082</v>
      </c>
    </row>
    <row r="213">
      <c r="H213" s="227">
        <v>-0.0216</v>
      </c>
      <c r="I213" s="227">
        <v>-0.0158</v>
      </c>
    </row>
    <row r="214">
      <c r="H214" s="227">
        <v>-0.0104</v>
      </c>
      <c r="I214" s="227">
        <v>-0.0182</v>
      </c>
    </row>
    <row r="215">
      <c r="H215" s="227">
        <v>0.0367</v>
      </c>
      <c r="I215" s="227">
        <v>0.0155</v>
      </c>
    </row>
    <row r="216">
      <c r="H216" s="227">
        <v>0.0106</v>
      </c>
      <c r="I216" s="227">
        <v>0.0077</v>
      </c>
    </row>
    <row r="217">
      <c r="H217" s="227">
        <v>-0.016</v>
      </c>
      <c r="I217" s="227">
        <v>-0.0568</v>
      </c>
    </row>
    <row r="218">
      <c r="H218" s="227">
        <v>0.022</v>
      </c>
      <c r="I218" s="227">
        <v>-0.003</v>
      </c>
    </row>
    <row r="219">
      <c r="H219" s="227">
        <v>-0.0867</v>
      </c>
      <c r="I219" s="227">
        <v>-0.0187</v>
      </c>
    </row>
    <row r="220">
      <c r="H220" s="227">
        <v>0.0136</v>
      </c>
      <c r="I220" s="227">
        <v>0.0085</v>
      </c>
    </row>
    <row r="221">
      <c r="H221" s="227">
        <v>0.017</v>
      </c>
      <c r="I221" s="227">
        <v>0.0228</v>
      </c>
    </row>
    <row r="222">
      <c r="H222" s="227">
        <v>0.0186</v>
      </c>
      <c r="I222" s="227">
        <v>-0.0194</v>
      </c>
    </row>
    <row r="223">
      <c r="H223" s="227">
        <v>0.0643</v>
      </c>
      <c r="I223" s="227">
        <v>0.0382</v>
      </c>
    </row>
    <row r="224">
      <c r="H224" s="227">
        <v>0.0214</v>
      </c>
      <c r="I224" s="227">
        <v>-0.0122</v>
      </c>
    </row>
    <row r="225">
      <c r="H225" s="227">
        <v>-2.0E-4</v>
      </c>
      <c r="I225" s="227">
        <v>-0.022</v>
      </c>
    </row>
    <row r="226">
      <c r="H226" s="227">
        <v>-0.0414</v>
      </c>
      <c r="I226" s="227">
        <v>0.0032</v>
      </c>
    </row>
    <row r="227">
      <c r="H227" s="227">
        <v>0.007</v>
      </c>
      <c r="I227" s="227">
        <v>-0.0031</v>
      </c>
    </row>
    <row r="228">
      <c r="H228" s="227">
        <v>-0.0101</v>
      </c>
      <c r="I228" s="227">
        <v>0.02</v>
      </c>
    </row>
    <row r="229">
      <c r="H229" s="227">
        <v>0.0252</v>
      </c>
      <c r="I229" s="227">
        <v>0.0133</v>
      </c>
    </row>
    <row r="230">
      <c r="H230" s="227">
        <v>0.0493</v>
      </c>
      <c r="I230" s="227">
        <v>0.0164</v>
      </c>
    </row>
    <row r="231">
      <c r="H231" s="227">
        <v>0.048</v>
      </c>
      <c r="I231" s="227">
        <v>0.0182</v>
      </c>
    </row>
    <row r="232">
      <c r="H232" s="227">
        <v>0.0408</v>
      </c>
      <c r="I232" s="227">
        <v>0.0079</v>
      </c>
    </row>
    <row r="233">
      <c r="H233" s="227">
        <v>-0.036</v>
      </c>
      <c r="I233" s="227">
        <v>-0.0221</v>
      </c>
    </row>
    <row r="234">
      <c r="H234" s="227">
        <v>-0.0311</v>
      </c>
      <c r="I234" s="227">
        <v>0.0051</v>
      </c>
    </row>
    <row r="235">
      <c r="H235" s="227">
        <v>0.0402</v>
      </c>
      <c r="I235" s="227">
        <v>-0.0057</v>
      </c>
    </row>
    <row r="236">
      <c r="H236" s="227">
        <v>-0.0448</v>
      </c>
      <c r="I236" s="227">
        <v>-0.0169</v>
      </c>
    </row>
    <row r="237">
      <c r="H237" s="227">
        <v>0.0098</v>
      </c>
      <c r="I237" s="227">
        <v>0.0058</v>
      </c>
    </row>
    <row r="238">
      <c r="H238" s="227">
        <v>-0.0255</v>
      </c>
      <c r="I238" s="227">
        <v>0.0152</v>
      </c>
    </row>
    <row r="239">
      <c r="H239" s="227">
        <v>0.0489</v>
      </c>
      <c r="I239" s="227">
        <v>-0.0059</v>
      </c>
    </row>
    <row r="240">
      <c r="H240" s="227">
        <v>-0.0131</v>
      </c>
      <c r="I240" s="227">
        <v>0.0071</v>
      </c>
    </row>
    <row r="241">
      <c r="H241" s="227">
        <v>0.007</v>
      </c>
      <c r="I241" s="227">
        <v>0.0094</v>
      </c>
    </row>
    <row r="242">
      <c r="H242" s="227">
        <v>-0.0131</v>
      </c>
      <c r="I242" s="227">
        <v>-0.0037</v>
      </c>
    </row>
    <row r="243">
      <c r="H243" s="227">
        <v>-0.0048</v>
      </c>
      <c r="I243" s="227">
        <v>0.0196</v>
      </c>
    </row>
    <row r="244">
      <c r="H244" s="227">
        <v>0.0184</v>
      </c>
      <c r="I244" s="227">
        <v>-0.0097</v>
      </c>
    </row>
    <row r="245">
      <c r="H245" s="227">
        <v>0.0067</v>
      </c>
      <c r="I245" s="227">
        <v>0.004</v>
      </c>
    </row>
    <row r="246">
      <c r="H246" s="227">
        <v>0.0109</v>
      </c>
      <c r="I246" s="227">
        <v>0.0167</v>
      </c>
    </row>
    <row r="247">
      <c r="H247" s="227">
        <v>0.04</v>
      </c>
      <c r="I247" s="227">
        <v>0.0274</v>
      </c>
    </row>
    <row r="248">
      <c r="H248" s="227">
        <v>-0.0214</v>
      </c>
      <c r="I248" s="227">
        <v>-0.0191</v>
      </c>
    </row>
    <row r="249">
      <c r="H249" s="227">
        <v>-0.0191</v>
      </c>
      <c r="I249" s="227">
        <v>0.0041</v>
      </c>
    </row>
    <row r="250">
      <c r="H250" s="227">
        <v>-0.0152</v>
      </c>
      <c r="I250" s="227">
        <v>0.0061</v>
      </c>
    </row>
    <row r="251">
      <c r="H251" s="227">
        <v>7.0E-4</v>
      </c>
      <c r="I251" s="227">
        <v>0.0116</v>
      </c>
    </row>
    <row r="252">
      <c r="H252" s="227">
        <v>0.0045</v>
      </c>
      <c r="I252" s="227">
        <v>-0.0043</v>
      </c>
    </row>
    <row r="253">
      <c r="H253" s="227">
        <v>-0.0188</v>
      </c>
      <c r="I253" s="227">
        <v>-0.0139</v>
      </c>
    </row>
    <row r="254">
      <c r="H254" s="227">
        <v>0.0473</v>
      </c>
      <c r="I254" s="227">
        <v>0.0123</v>
      </c>
    </row>
    <row r="255">
      <c r="H255" s="227">
        <v>-0.0038</v>
      </c>
      <c r="I255" s="227">
        <v>2.0E-4</v>
      </c>
    </row>
    <row r="256">
      <c r="H256" s="227">
        <v>0.0238</v>
      </c>
      <c r="I256" s="227">
        <v>-0.0013</v>
      </c>
    </row>
    <row r="257">
      <c r="H257" s="227">
        <v>0.0391</v>
      </c>
      <c r="I257" s="227">
        <v>0.0137</v>
      </c>
    </row>
    <row r="258">
      <c r="H258" s="227">
        <v>0.0251</v>
      </c>
      <c r="I258" s="227">
        <v>0.0271</v>
      </c>
    </row>
    <row r="259">
      <c r="H259" s="227">
        <v>-0.025</v>
      </c>
      <c r="I259" s="227">
        <v>0.0114</v>
      </c>
    </row>
    <row r="260">
      <c r="H260" s="227">
        <v>0.0298</v>
      </c>
      <c r="I260" s="227">
        <v>0.0157</v>
      </c>
    </row>
    <row r="261">
      <c r="H261" s="227">
        <v>0.0269</v>
      </c>
      <c r="I261" s="227">
        <v>-0.0077</v>
      </c>
    </row>
    <row r="262">
      <c r="H262" s="227">
        <v>0.0257</v>
      </c>
      <c r="I262" s="227">
        <v>0.0264</v>
      </c>
    </row>
    <row r="263">
      <c r="H263" s="227">
        <v>0.0448</v>
      </c>
      <c r="I263" s="227">
        <v>0.0081</v>
      </c>
    </row>
  </sheetData>
  <drawing r:id="rId1"/>
</worksheet>
</file>