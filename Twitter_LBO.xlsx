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hibit 1 " sheetId="1" r:id="rId5"/>
    <sheet state="visible" name="Exhibit 2" sheetId="2" r:id="rId6"/>
    <sheet state="visible" name="Financials " sheetId="3" r:id="rId7"/>
    <sheet state="visible" name="Transaction Summary" sheetId="4" r:id="rId8"/>
    <sheet state="visible" name="Projected Financials (Best Case" sheetId="5" r:id="rId9"/>
    <sheet state="visible" name=" Projected Financials (Base Cas" sheetId="6" r:id="rId10"/>
    <sheet state="visible" name=" Projected Financials (Worst ca" sheetId="7" r:id="rId11"/>
    <sheet state="visible" name="Debt Schedule " sheetId="8" r:id="rId12"/>
    <sheet state="visible" name="Return Analysis" sheetId="9" r:id="rId13"/>
  </sheets>
  <definedNames/>
  <calcPr/>
</workbook>
</file>

<file path=xl/sharedStrings.xml><?xml version="1.0" encoding="utf-8"?>
<sst xmlns="http://schemas.openxmlformats.org/spreadsheetml/2006/main" count="279" uniqueCount="123">
  <si>
    <t>Income Statement - Twitter</t>
  </si>
  <si>
    <t>Revenue</t>
  </si>
  <si>
    <t>Growth</t>
  </si>
  <si>
    <t>Recurring Operating Expenses</t>
  </si>
  <si>
    <t>Non-Recurring Operating Expenses</t>
  </si>
  <si>
    <t>Operating Income (Loss)</t>
  </si>
  <si>
    <t>Operating Margin (%)</t>
  </si>
  <si>
    <t>Depreciation &amp; Amortization</t>
  </si>
  <si>
    <t>EBITDA</t>
  </si>
  <si>
    <t>EBITDA Margin (%)</t>
  </si>
  <si>
    <t>Interest Expense</t>
  </si>
  <si>
    <t>Interest Income</t>
  </si>
  <si>
    <t>Other Income (Expense)</t>
  </si>
  <si>
    <t>Net Interest Income (Expense)</t>
  </si>
  <si>
    <t>Taxable Income</t>
  </si>
  <si>
    <t>Income Tax Provision</t>
  </si>
  <si>
    <t>Net Income (Loss)</t>
  </si>
  <si>
    <t xml:space="preserve">Balance Sheet </t>
  </si>
  <si>
    <t>Cash &amp; Equivalents</t>
  </si>
  <si>
    <t>Short-term Investments</t>
  </si>
  <si>
    <t>Total Current Assets</t>
  </si>
  <si>
    <t>Property &amp; Equipment (Net)</t>
  </si>
  <si>
    <t>Intangible Assets (Net)</t>
  </si>
  <si>
    <t>Goodwill</t>
  </si>
  <si>
    <t>Total Assets</t>
  </si>
  <si>
    <t>Convertible Notes (Short-term)</t>
  </si>
  <si>
    <t>Total Current Liabilities</t>
  </si>
  <si>
    <t>Convertible Notes (Long-term)</t>
  </si>
  <si>
    <t>Senior Notes (Long-term)</t>
  </si>
  <si>
    <t>Total Liabilities</t>
  </si>
  <si>
    <t>Total Stockholders Equity</t>
  </si>
  <si>
    <t>Total Liab &amp; Equity</t>
  </si>
  <si>
    <t>Sources and Uses for Twitter</t>
  </si>
  <si>
    <t>(in millions of U.S. dollars)</t>
  </si>
  <si>
    <t>Sources</t>
  </si>
  <si>
    <t>Uses</t>
  </si>
  <si>
    <t xml:space="preserve">New Debt </t>
  </si>
  <si>
    <t>Purchase Of Public Equity</t>
  </si>
  <si>
    <t xml:space="preserve">Existing Cash </t>
  </si>
  <si>
    <t xml:space="preserve">Buyout </t>
  </si>
  <si>
    <t xml:space="preserve">Equity </t>
  </si>
  <si>
    <t>Fees and expenses</t>
  </si>
  <si>
    <t xml:space="preserve">Equity Rollover </t>
  </si>
  <si>
    <t xml:space="preserve">Refinancing of existing debt </t>
  </si>
  <si>
    <t xml:space="preserve">Sponsor's Equity </t>
  </si>
  <si>
    <t xml:space="preserve">Minimum Cash </t>
  </si>
  <si>
    <t xml:space="preserve">Total Sources </t>
  </si>
  <si>
    <t>Total Uses</t>
  </si>
  <si>
    <t>Transaction Summary (All Amounts in Million, Except per Share Data)</t>
  </si>
  <si>
    <t xml:space="preserve">Public Shares </t>
  </si>
  <si>
    <t xml:space="preserve">Elon Musk's Shares </t>
  </si>
  <si>
    <t xml:space="preserve">Total Shares </t>
  </si>
  <si>
    <t xml:space="preserve">Musk's Bid Price </t>
  </si>
  <si>
    <t xml:space="preserve">Implied Equity Value </t>
  </si>
  <si>
    <t xml:space="preserve">Debt </t>
  </si>
  <si>
    <t xml:space="preserve">Cash </t>
  </si>
  <si>
    <t xml:space="preserve">Implied Transaction Value </t>
  </si>
  <si>
    <t>Assumptions:</t>
  </si>
  <si>
    <t>Metric</t>
  </si>
  <si>
    <t>2021A</t>
  </si>
  <si>
    <t>2022E</t>
  </si>
  <si>
    <t>2023E</t>
  </si>
  <si>
    <t>2024E</t>
  </si>
  <si>
    <t>2025E</t>
  </si>
  <si>
    <t>2026E</t>
  </si>
  <si>
    <t>2027E</t>
  </si>
  <si>
    <t>2028E</t>
  </si>
  <si>
    <t>Revenue Growth</t>
  </si>
  <si>
    <t>EBITDA Margin</t>
  </si>
  <si>
    <t>CapEx (% Revenue)</t>
  </si>
  <si>
    <t>Change in NWC (% Rev Change)</t>
  </si>
  <si>
    <t>Terminal EBITDA Multiple</t>
  </si>
  <si>
    <t>Debt</t>
  </si>
  <si>
    <t>Interest Rate</t>
  </si>
  <si>
    <t>Tax Rate</t>
  </si>
  <si>
    <t>Required Return (Musk)</t>
  </si>
  <si>
    <t>Required Return (Sponsors)</t>
  </si>
  <si>
    <t xml:space="preserve">Revenue Growth </t>
  </si>
  <si>
    <t>EBIT</t>
  </si>
  <si>
    <t>EBIT Margin</t>
  </si>
  <si>
    <t>EBT</t>
  </si>
  <si>
    <t>Taxes</t>
  </si>
  <si>
    <t>Net Income</t>
  </si>
  <si>
    <t>Net Margin</t>
  </si>
  <si>
    <t>CapEx</t>
  </si>
  <si>
    <t>Change in NWC</t>
  </si>
  <si>
    <t>Cash Flow Available to Repay Debt</t>
  </si>
  <si>
    <t>Debt Draw / Repayment</t>
  </si>
  <si>
    <t>-</t>
  </si>
  <si>
    <t>Cash Flow to Equity</t>
  </si>
  <si>
    <t>Terminal Value</t>
  </si>
  <si>
    <t>Terminal Equity Value</t>
  </si>
  <si>
    <t>CF to Equity + TVE</t>
  </si>
  <si>
    <t>PV of Equity</t>
  </si>
  <si>
    <t>Excess Cash</t>
  </si>
  <si>
    <t>Equity Value</t>
  </si>
  <si>
    <t>Implied Share Price</t>
  </si>
  <si>
    <t xml:space="preserve">Elon Musk's Split </t>
  </si>
  <si>
    <t xml:space="preserve">Sponsor's Split </t>
  </si>
  <si>
    <t xml:space="preserve">Musk's Share </t>
  </si>
  <si>
    <t xml:space="preserve">Sponsor's Share </t>
  </si>
  <si>
    <t xml:space="preserve">Musk's MOIC </t>
  </si>
  <si>
    <t xml:space="preserve">Sponsor MOIC </t>
  </si>
  <si>
    <t>Musk's IRR</t>
  </si>
  <si>
    <t>(Best Case)</t>
  </si>
  <si>
    <t>Sponsor's IRR</t>
  </si>
  <si>
    <t>(Base Case)</t>
  </si>
  <si>
    <t xml:space="preserve">Debt Schedule for Twitter </t>
  </si>
  <si>
    <t>(millions of USD)</t>
  </si>
  <si>
    <t xml:space="preserve">Senior Loan </t>
  </si>
  <si>
    <t xml:space="preserve">Repayment </t>
  </si>
  <si>
    <t xml:space="preserve">Ending Balance </t>
  </si>
  <si>
    <t xml:space="preserve">Interest </t>
  </si>
  <si>
    <t xml:space="preserve">Unsecured Loan </t>
  </si>
  <si>
    <t xml:space="preserve">Margin Loan </t>
  </si>
  <si>
    <t>SOFR + 3%</t>
  </si>
  <si>
    <t xml:space="preserve">Total Interest </t>
  </si>
  <si>
    <t>Return Analysis</t>
  </si>
  <si>
    <t>Years</t>
  </si>
  <si>
    <t>Exit Multiple</t>
  </si>
  <si>
    <t>Enterprise Value</t>
  </si>
  <si>
    <t>Less: Debt</t>
  </si>
  <si>
    <t>Plus: 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</si>
</sst>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_(&quot;$&quot;* #,##0.00_);_(&quot;$&quot;* \(#,##0.00\);_(&quot;$&quot;* &quot;-&quot;??_);_(@_)"/>
    <numFmt numFmtId="166" formatCode="0.000"/>
  </numFmts>
  <fonts count="17">
    <font>
      <sz val="10.0"/>
      <color rgb="FF000000"/>
      <name val="Arial"/>
      <scheme val="minor"/>
    </font>
    <font>
      <b/>
      <sz val="11.0"/>
      <color rgb="FF000000"/>
      <name val="Calibri"/>
    </font>
    <font>
      <b/>
      <sz val="11.0"/>
      <color rgb="FFFFFFFF"/>
      <name val="Calibri"/>
    </font>
    <font>
      <sz val="11.0"/>
      <color rgb="FF000000"/>
      <name val="Calibri"/>
    </font>
    <font>
      <sz val="11.0"/>
      <color rgb="FF999999"/>
      <name val="Calibri"/>
    </font>
    <font>
      <b/>
      <sz val="10.0"/>
      <color theme="1"/>
      <name val="Arial"/>
    </font>
    <font>
      <sz val="10.0"/>
      <color theme="1"/>
      <name val="Arial"/>
    </font>
    <font>
      <sz val="11.0"/>
      <color theme="1"/>
      <name val="Times New Roman"/>
    </font>
    <font>
      <sz val="11.0"/>
      <color rgb="FF000000"/>
      <name val="Times New Roman"/>
    </font>
    <font>
      <b/>
      <sz val="10.0"/>
      <color theme="1"/>
      <name val="Times New Roman"/>
    </font>
    <font>
      <sz val="10.0"/>
      <color theme="1"/>
      <name val="Times New Roman"/>
    </font>
    <font>
      <sz val="10.0"/>
      <color rgb="FF000000"/>
      <name val="Times New Roman"/>
    </font>
    <font>
      <sz val="10.0"/>
      <color rgb="FFFFFFFF"/>
      <name val="Arial"/>
    </font>
    <font>
      <sz val="11.0"/>
      <color rgb="FFFFFFFF"/>
      <name val="Calibri"/>
    </font>
    <font>
      <b/>
      <sz val="10.0"/>
      <color rgb="FF000000"/>
      <name val="Calibri"/>
    </font>
    <font>
      <sz val="10.0"/>
      <color rgb="FF000000"/>
      <name val="Calibri"/>
    </font>
    <font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F00"/>
        <bgColor rgb="FFFFFF00"/>
      </patternFill>
    </fill>
  </fills>
  <borders count="5">
    <border/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0" fillId="0" fontId="4" numFmtId="164" xfId="0" applyAlignment="1" applyFont="1" applyNumberFormat="1">
      <alignment horizontal="center"/>
    </xf>
    <xf borderId="0" fillId="0" fontId="4" numFmtId="10" xfId="0" applyAlignment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2" fillId="0" fontId="1" numFmtId="0" xfId="0" applyAlignment="1" applyBorder="1" applyFont="1">
      <alignment horizontal="center"/>
    </xf>
    <xf borderId="2" fillId="0" fontId="1" numFmtId="165" xfId="0" applyAlignment="1" applyBorder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2" fillId="0" fontId="5" numFmtId="0" xfId="0" applyAlignment="1" applyBorder="1" applyFont="1">
      <alignment horizontal="center"/>
    </xf>
    <xf borderId="2" fillId="0" fontId="5" numFmtId="165" xfId="0" applyAlignment="1" applyBorder="1" applyFont="1" applyNumberFormat="1">
      <alignment horizontal="center"/>
    </xf>
    <xf borderId="0" fillId="0" fontId="6" numFmtId="165" xfId="0" applyFont="1" applyNumberFormat="1"/>
    <xf borderId="0" fillId="0" fontId="7" numFmtId="0" xfId="0" applyFont="1"/>
    <xf borderId="0" fillId="0" fontId="3" numFmtId="0" xfId="0" applyFont="1"/>
    <xf borderId="0" fillId="0" fontId="8" numFmtId="0" xfId="0" applyFont="1"/>
    <xf borderId="3" fillId="0" fontId="9" numFmtId="0" xfId="0" applyAlignment="1" applyBorder="1" applyFont="1">
      <alignment horizontal="center"/>
    </xf>
    <xf borderId="3" fillId="0" fontId="3" numFmtId="0" xfId="0" applyAlignment="1" applyBorder="1" applyFont="1">
      <alignment horizontal="center"/>
    </xf>
    <xf borderId="3" fillId="0" fontId="10" numFmtId="0" xfId="0" applyAlignment="1" applyBorder="1" applyFont="1">
      <alignment horizontal="center"/>
    </xf>
    <xf borderId="3" fillId="0" fontId="10" numFmtId="164" xfId="0" applyAlignment="1" applyBorder="1" applyFont="1" applyNumberFormat="1">
      <alignment horizontal="center"/>
    </xf>
    <xf borderId="3" fillId="0" fontId="11" numFmtId="0" xfId="0" applyAlignment="1" applyBorder="1" applyFont="1">
      <alignment horizontal="center"/>
    </xf>
    <xf borderId="3" fillId="0" fontId="9" numFmtId="164" xfId="0" applyAlignment="1" applyBorder="1" applyFont="1" applyNumberFormat="1">
      <alignment horizontal="center"/>
    </xf>
    <xf borderId="0" fillId="0" fontId="10" numFmtId="0" xfId="0" applyAlignment="1" applyFont="1">
      <alignment horizontal="center"/>
    </xf>
    <xf borderId="0" fillId="0" fontId="5" numFmtId="0" xfId="0" applyFont="1"/>
    <xf borderId="0" fillId="0" fontId="6" numFmtId="0" xfId="0" applyAlignment="1" applyFont="1">
      <alignment horizontal="center"/>
    </xf>
    <xf borderId="0" fillId="0" fontId="6" numFmtId="10" xfId="0" applyAlignment="1" applyFont="1" applyNumberFormat="1">
      <alignment horizontal="center"/>
    </xf>
    <xf borderId="4" fillId="0" fontId="6" numFmtId="0" xfId="0" applyAlignment="1" applyBorder="1" applyFont="1">
      <alignment horizontal="center"/>
    </xf>
    <xf borderId="0" fillId="0" fontId="6" numFmtId="164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0" fillId="0" fontId="5" numFmtId="164" xfId="0" applyAlignment="1" applyFont="1" applyNumberFormat="1">
      <alignment horizontal="center"/>
    </xf>
    <xf borderId="3" fillId="0" fontId="1" numFmtId="0" xfId="0" applyAlignment="1" applyBorder="1" applyFont="1">
      <alignment horizontal="center"/>
    </xf>
    <xf borderId="3" fillId="0" fontId="3" numFmtId="10" xfId="0" applyAlignment="1" applyBorder="1" applyFont="1" applyNumberFormat="1">
      <alignment horizontal="center"/>
    </xf>
    <xf borderId="3" fillId="0" fontId="3" numFmtId="9" xfId="0" applyAlignment="1" applyBorder="1" applyFont="1" applyNumberFormat="1">
      <alignment horizontal="center"/>
    </xf>
    <xf borderId="3" fillId="0" fontId="3" numFmtId="164" xfId="0" applyAlignment="1" applyBorder="1" applyFont="1" applyNumberFormat="1">
      <alignment horizontal="center"/>
    </xf>
    <xf borderId="2" fillId="0" fontId="1" numFmtId="164" xfId="0" applyAlignment="1" applyBorder="1" applyFont="1" applyNumberFormat="1">
      <alignment horizontal="center"/>
    </xf>
    <xf borderId="0" fillId="0" fontId="12" numFmtId="0" xfId="0" applyFont="1"/>
    <xf borderId="0" fillId="0" fontId="12" numFmtId="164" xfId="0" applyFont="1" applyNumberFormat="1"/>
    <xf borderId="0" fillId="0" fontId="3" numFmtId="10" xfId="0" applyAlignment="1" applyFont="1" applyNumberFormat="1">
      <alignment horizontal="center"/>
    </xf>
    <xf borderId="0" fillId="0" fontId="13" numFmtId="0" xfId="0" applyAlignment="1" applyFont="1">
      <alignment horizontal="center"/>
    </xf>
    <xf borderId="0" fillId="0" fontId="13" numFmtId="164" xfId="0" applyAlignment="1" applyFont="1" applyNumberFormat="1">
      <alignment horizontal="center"/>
    </xf>
    <xf borderId="0" fillId="0" fontId="6" numFmtId="166" xfId="0" applyAlignment="1" applyFont="1" applyNumberFormat="1">
      <alignment horizontal="center"/>
    </xf>
    <xf borderId="0" fillId="0" fontId="5" numFmtId="10" xfId="0" applyAlignment="1" applyFont="1" applyNumberFormat="1">
      <alignment horizontal="center"/>
    </xf>
    <xf borderId="0" fillId="0" fontId="6" numFmtId="0" xfId="0" applyFont="1"/>
    <xf borderId="0" fillId="0" fontId="3" numFmtId="164" xfId="0" applyAlignment="1" applyFont="1" applyNumberFormat="1">
      <alignment horizontal="center" readingOrder="0"/>
    </xf>
    <xf borderId="0" fillId="0" fontId="14" numFmtId="0" xfId="0" applyFont="1"/>
    <xf borderId="0" fillId="0" fontId="1" numFmtId="0" xfId="0" applyFont="1"/>
    <xf borderId="0" fillId="0" fontId="15" numFmtId="0" xfId="0" applyAlignment="1" applyFont="1">
      <alignment horizontal="center"/>
    </xf>
    <xf borderId="1" fillId="2" fontId="13" numFmtId="0" xfId="0" applyAlignment="1" applyBorder="1" applyFont="1">
      <alignment horizontal="center"/>
    </xf>
    <xf borderId="1" fillId="3" fontId="6" numFmtId="9" xfId="0" applyAlignment="1" applyBorder="1" applyFill="1" applyFont="1" applyNumberFormat="1">
      <alignment horizontal="center"/>
    </xf>
    <xf borderId="0" fillId="0" fontId="16" numFmtId="0" xfId="0" applyFont="1"/>
    <xf borderId="1" fillId="3" fontId="6" numFmtId="0" xfId="0" applyAlignment="1" applyBorder="1" applyFont="1">
      <alignment horizontal="center"/>
    </xf>
    <xf borderId="2" fillId="0" fontId="5" numFmtId="164" xfId="0" applyAlignment="1" applyBorder="1" applyFont="1" applyNumberFormat="1">
      <alignment horizontal="center"/>
    </xf>
    <xf borderId="0" fillId="0" fontId="3" numFmtId="0" xfId="0" applyAlignment="1" applyFont="1">
      <alignment horizontal="right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6457950" cy="3914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352425</xdr:colOff>
      <xdr:row>21</xdr:row>
      <xdr:rowOff>57150</xdr:rowOff>
    </xdr:from>
    <xdr:ext cx="6038850" cy="43910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8039100" cy="39338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21</xdr:row>
      <xdr:rowOff>152400</xdr:rowOff>
    </xdr:from>
    <xdr:ext cx="7534275" cy="4457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6.88"/>
    <col customWidth="1" min="2" max="6" width="12.63"/>
  </cols>
  <sheetData>
    <row r="1" ht="15.75" customHeight="1">
      <c r="A1" s="1"/>
      <c r="B1" s="1"/>
      <c r="C1" s="1"/>
      <c r="D1" s="1"/>
    </row>
    <row r="2" ht="15.75" customHeight="1">
      <c r="A2" s="1" t="s">
        <v>0</v>
      </c>
    </row>
    <row r="3" ht="15.75" customHeight="1">
      <c r="A3" s="1"/>
      <c r="B3" s="1"/>
      <c r="C3" s="1"/>
      <c r="D3" s="1"/>
    </row>
    <row r="4" ht="15.75" customHeight="1">
      <c r="A4" s="1"/>
      <c r="B4" s="2">
        <v>2019.0</v>
      </c>
      <c r="C4" s="2">
        <v>2020.0</v>
      </c>
      <c r="D4" s="2">
        <v>2021.0</v>
      </c>
    </row>
    <row r="5" ht="15.75" customHeight="1">
      <c r="A5" s="3" t="s">
        <v>1</v>
      </c>
      <c r="B5" s="4">
        <v>3459.33</v>
      </c>
      <c r="C5" s="4">
        <v>3716.35</v>
      </c>
      <c r="D5" s="4">
        <v>5077.48</v>
      </c>
    </row>
    <row r="6" ht="15.75" customHeight="1">
      <c r="A6" s="5" t="s">
        <v>2</v>
      </c>
      <c r="B6" s="6"/>
      <c r="C6" s="7">
        <f t="shared" ref="C6:D6" si="1">C5/B5-1</f>
        <v>0.07429762411</v>
      </c>
      <c r="D6" s="7">
        <f t="shared" si="1"/>
        <v>0.3662545239</v>
      </c>
    </row>
    <row r="7" ht="15.75" customHeight="1">
      <c r="A7" s="8" t="s">
        <v>3</v>
      </c>
      <c r="B7" s="8">
        <v>-3092.96</v>
      </c>
      <c r="C7" s="8">
        <v>-3689.69</v>
      </c>
      <c r="D7" s="8">
        <v>-4804.52</v>
      </c>
    </row>
    <row r="8" ht="15.75" customHeight="1">
      <c r="A8" s="3" t="s">
        <v>4</v>
      </c>
      <c r="B8" s="8"/>
      <c r="C8" s="8"/>
      <c r="D8" s="8">
        <v>-765.7</v>
      </c>
    </row>
    <row r="9" ht="15.75" customHeight="1">
      <c r="A9" s="3" t="s">
        <v>5</v>
      </c>
      <c r="B9" s="8">
        <v>366.37</v>
      </c>
      <c r="C9" s="8">
        <v>26.66</v>
      </c>
      <c r="D9" s="8">
        <v>-492.74</v>
      </c>
    </row>
    <row r="10" ht="15.75" customHeight="1">
      <c r="A10" s="5" t="s">
        <v>6</v>
      </c>
      <c r="B10" s="7">
        <f>10.59/100</f>
        <v>0.1059</v>
      </c>
      <c r="C10" s="7">
        <v>0.0072</v>
      </c>
      <c r="D10" s="7">
        <f>D9/D5</f>
        <v>-0.09704420303</v>
      </c>
    </row>
    <row r="11" ht="15.75" customHeight="1">
      <c r="A11" s="3" t="s">
        <v>7</v>
      </c>
      <c r="B11" s="8">
        <v>465.5</v>
      </c>
      <c r="C11" s="8">
        <v>495.18</v>
      </c>
      <c r="D11" s="8">
        <v>544.85</v>
      </c>
    </row>
    <row r="12" ht="15.75" customHeight="1">
      <c r="A12" s="3" t="s">
        <v>8</v>
      </c>
      <c r="B12" s="8">
        <v>831.87</v>
      </c>
      <c r="C12" s="8">
        <v>521.84</v>
      </c>
      <c r="D12" s="8">
        <v>817.81</v>
      </c>
    </row>
    <row r="13" ht="15.75" customHeight="1">
      <c r="A13" s="7" t="s">
        <v>9</v>
      </c>
      <c r="B13" s="7">
        <f>24.05/100</f>
        <v>0.2405</v>
      </c>
      <c r="C13" s="7">
        <f>14.04/100</f>
        <v>0.1404</v>
      </c>
      <c r="D13" s="7">
        <f>16.11/100</f>
        <v>0.1611</v>
      </c>
    </row>
    <row r="14" ht="15.75" customHeight="1">
      <c r="A14" s="3" t="s">
        <v>10</v>
      </c>
      <c r="B14" s="8">
        <v>-138.18</v>
      </c>
      <c r="C14" s="8">
        <v>-152.88</v>
      </c>
      <c r="D14" s="8">
        <v>-51.19</v>
      </c>
    </row>
    <row r="15" ht="15.75" customHeight="1">
      <c r="A15" s="3" t="s">
        <v>11</v>
      </c>
      <c r="B15" s="8">
        <v>157.7</v>
      </c>
      <c r="C15" s="8">
        <v>88.18</v>
      </c>
      <c r="D15" s="8">
        <v>35.68</v>
      </c>
    </row>
    <row r="16" ht="15.75" customHeight="1">
      <c r="A16" s="3" t="s">
        <v>12</v>
      </c>
      <c r="B16" s="8">
        <v>4.24</v>
      </c>
      <c r="C16" s="8">
        <v>-12.9</v>
      </c>
      <c r="D16" s="8">
        <v>97.13</v>
      </c>
    </row>
    <row r="17" ht="15.75" customHeight="1">
      <c r="A17" s="3" t="s">
        <v>13</v>
      </c>
      <c r="B17" s="8">
        <v>23.77</v>
      </c>
      <c r="C17" s="8">
        <v>-77.6</v>
      </c>
      <c r="D17" s="8">
        <v>81.63</v>
      </c>
    </row>
    <row r="18" ht="15.75" customHeight="1">
      <c r="A18" s="3" t="s">
        <v>14</v>
      </c>
      <c r="B18" s="8">
        <v>390.14</v>
      </c>
      <c r="C18" s="8">
        <v>-50.94</v>
      </c>
      <c r="D18" s="8">
        <v>-411.11</v>
      </c>
    </row>
    <row r="19" ht="15.75" customHeight="1">
      <c r="A19" s="3" t="s">
        <v>15</v>
      </c>
      <c r="B19" s="8">
        <v>1075.52</v>
      </c>
      <c r="C19" s="8">
        <v>-1084.69</v>
      </c>
      <c r="D19" s="8">
        <v>189.7</v>
      </c>
    </row>
    <row r="20" ht="15.75" customHeight="1">
      <c r="A20" s="9" t="s">
        <v>16</v>
      </c>
      <c r="B20" s="10">
        <v>1465.66</v>
      </c>
      <c r="C20" s="10">
        <v>-1135.63</v>
      </c>
      <c r="D20" s="10">
        <v>-221.41</v>
      </c>
    </row>
    <row r="21" ht="15.75" customHeight="1">
      <c r="A21" s="1"/>
      <c r="B21" s="11"/>
      <c r="C21" s="11"/>
      <c r="D21" s="11"/>
    </row>
    <row r="22" ht="15.75" customHeight="1">
      <c r="A22" s="1" t="s">
        <v>17</v>
      </c>
    </row>
    <row r="23" ht="15.75" customHeight="1">
      <c r="A23" s="1"/>
      <c r="B23" s="1"/>
      <c r="C23" s="1"/>
      <c r="D23" s="1"/>
    </row>
    <row r="24" ht="15.75" customHeight="1">
      <c r="A24" s="1"/>
      <c r="B24" s="2">
        <v>2019.0</v>
      </c>
      <c r="C24" s="2">
        <v>2020.0</v>
      </c>
      <c r="D24" s="2">
        <v>2021.0</v>
      </c>
    </row>
    <row r="25" ht="15.75" customHeight="1">
      <c r="A25" s="3" t="s">
        <v>18</v>
      </c>
      <c r="B25" s="8">
        <v>1799.08</v>
      </c>
      <c r="C25" s="8">
        <v>1988.43</v>
      </c>
      <c r="D25" s="8">
        <v>2186.55</v>
      </c>
    </row>
    <row r="26" ht="15.75" customHeight="1">
      <c r="A26" s="3" t="s">
        <v>19</v>
      </c>
      <c r="B26" s="8">
        <v>4839.97</v>
      </c>
      <c r="C26" s="8">
        <v>5483.87</v>
      </c>
      <c r="D26" s="8">
        <v>4207.13</v>
      </c>
    </row>
    <row r="27" ht="15.75" customHeight="1">
      <c r="A27" s="1" t="s">
        <v>20</v>
      </c>
      <c r="B27" s="11">
        <v>7620.08</v>
      </c>
      <c r="C27" s="11">
        <v>8637.11</v>
      </c>
      <c r="D27" s="11">
        <v>7918.37</v>
      </c>
    </row>
    <row r="28" ht="15.75" customHeight="1">
      <c r="A28" s="3" t="s">
        <v>21</v>
      </c>
      <c r="B28" s="8">
        <v>1031.78</v>
      </c>
      <c r="C28" s="8">
        <v>1493.79</v>
      </c>
      <c r="D28" s="8">
        <v>2082.16</v>
      </c>
    </row>
    <row r="29" ht="15.75" customHeight="1">
      <c r="A29" s="3" t="s">
        <v>22</v>
      </c>
      <c r="B29" s="8">
        <v>55.11</v>
      </c>
      <c r="C29" s="8">
        <v>58.34</v>
      </c>
      <c r="D29" s="8">
        <v>69.32</v>
      </c>
    </row>
    <row r="30" ht="15.75" customHeight="1">
      <c r="A30" s="3" t="s">
        <v>23</v>
      </c>
      <c r="B30" s="8">
        <v>1256.7</v>
      </c>
      <c r="C30" s="8">
        <v>1312.35</v>
      </c>
      <c r="D30" s="8">
        <v>1301.52</v>
      </c>
    </row>
    <row r="31" ht="15.75" customHeight="1">
      <c r="A31" s="9" t="s">
        <v>24</v>
      </c>
      <c r="B31" s="10">
        <v>12703.39</v>
      </c>
      <c r="C31" s="10">
        <v>13379.09</v>
      </c>
      <c r="D31" s="10">
        <v>14059.52</v>
      </c>
    </row>
    <row r="32" ht="15.75" customHeight="1">
      <c r="A32" s="3" t="s">
        <v>25</v>
      </c>
      <c r="B32" s="8"/>
      <c r="C32" s="8">
        <v>917.87</v>
      </c>
      <c r="D32" s="8"/>
    </row>
    <row r="33" ht="15.75" customHeight="1">
      <c r="A33" s="1" t="s">
        <v>26</v>
      </c>
      <c r="B33" s="11">
        <v>832.48</v>
      </c>
      <c r="C33" s="11">
        <v>1952.83</v>
      </c>
      <c r="D33" s="11">
        <v>1343.87</v>
      </c>
    </row>
    <row r="34" ht="15.75" customHeight="1">
      <c r="A34" s="3" t="s">
        <v>27</v>
      </c>
      <c r="B34" s="8">
        <v>1816.83</v>
      </c>
      <c r="C34" s="8">
        <v>1875.88</v>
      </c>
      <c r="D34" s="8">
        <v>3559.02</v>
      </c>
    </row>
    <row r="35" ht="15.75" customHeight="1">
      <c r="A35" s="3" t="s">
        <v>28</v>
      </c>
      <c r="B35" s="8">
        <v>691.97</v>
      </c>
      <c r="C35" s="8">
        <v>692.99</v>
      </c>
      <c r="D35" s="8">
        <v>694.0</v>
      </c>
    </row>
    <row r="36" ht="15.75" customHeight="1">
      <c r="A36" s="1" t="s">
        <v>29</v>
      </c>
      <c r="B36" s="11">
        <v>3999.0</v>
      </c>
      <c r="C36" s="11">
        <v>5409.01</v>
      </c>
      <c r="D36" s="11">
        <v>6752.32</v>
      </c>
    </row>
    <row r="37" ht="15.75" customHeight="1">
      <c r="A37" s="1" t="s">
        <v>30</v>
      </c>
      <c r="B37" s="11">
        <v>8704.39</v>
      </c>
      <c r="C37" s="11">
        <v>7970.08</v>
      </c>
      <c r="D37" s="11">
        <v>7307.2</v>
      </c>
    </row>
    <row r="38" ht="15.75" customHeight="1">
      <c r="A38" s="12" t="s">
        <v>31</v>
      </c>
      <c r="B38" s="13">
        <f t="shared" ref="B38:D38" si="2">B36+B37</f>
        <v>12703.39</v>
      </c>
      <c r="C38" s="13">
        <f t="shared" si="2"/>
        <v>13379.09</v>
      </c>
      <c r="D38" s="13">
        <f t="shared" si="2"/>
        <v>14059.52</v>
      </c>
    </row>
    <row r="39" ht="15.75" customHeight="1">
      <c r="B39" s="14"/>
      <c r="C39" s="14"/>
      <c r="D39" s="14"/>
    </row>
    <row r="40" ht="15.75" customHeight="1">
      <c r="B40" s="14"/>
      <c r="C40" s="14"/>
      <c r="D40" s="14"/>
    </row>
    <row r="41" ht="15.75" customHeight="1">
      <c r="B41" s="14"/>
      <c r="C41" s="14"/>
      <c r="D41" s="14"/>
    </row>
    <row r="42" ht="15.75" customHeight="1">
      <c r="B42" s="14"/>
      <c r="C42" s="14"/>
      <c r="D42" s="14"/>
    </row>
    <row r="43" ht="15.75" customHeight="1">
      <c r="B43" s="14"/>
      <c r="C43" s="14"/>
      <c r="D43" s="14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D2"/>
    <mergeCell ref="A22:D2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2.25"/>
    <col customWidth="1" min="2" max="4" width="12.63"/>
    <col customWidth="1" min="5" max="5" width="20.38"/>
    <col customWidth="1" min="6" max="6" width="12.63"/>
  </cols>
  <sheetData>
    <row r="1" ht="15.75" customHeight="1"/>
    <row r="2" ht="15.75" customHeight="1">
      <c r="A2" s="15" t="s">
        <v>32</v>
      </c>
      <c r="D2" s="16"/>
      <c r="E2" s="16"/>
      <c r="F2" s="16"/>
    </row>
    <row r="3" ht="15.75" customHeight="1">
      <c r="A3" s="15" t="s">
        <v>33</v>
      </c>
      <c r="B3" s="17"/>
      <c r="C3" s="17"/>
      <c r="D3" s="16"/>
      <c r="E3" s="16"/>
      <c r="F3" s="16"/>
    </row>
    <row r="4" ht="15.75" customHeight="1">
      <c r="A4" s="16"/>
      <c r="B4" s="16"/>
      <c r="C4" s="16"/>
      <c r="D4" s="16"/>
      <c r="E4" s="16"/>
      <c r="F4" s="16"/>
    </row>
    <row r="5" ht="15.75" customHeight="1">
      <c r="A5" s="18" t="s">
        <v>34</v>
      </c>
      <c r="B5" s="19"/>
      <c r="C5" s="19"/>
      <c r="D5" s="19"/>
      <c r="E5" s="18" t="s">
        <v>35</v>
      </c>
      <c r="F5" s="19"/>
    </row>
    <row r="6" ht="15.75" customHeight="1">
      <c r="A6" s="20" t="s">
        <v>36</v>
      </c>
      <c r="B6" s="21"/>
      <c r="C6" s="21">
        <v>25000.0</v>
      </c>
      <c r="D6" s="19"/>
      <c r="E6" s="20" t="s">
        <v>37</v>
      </c>
      <c r="F6" s="21">
        <v>39431.0</v>
      </c>
    </row>
    <row r="7" ht="15.75" customHeight="1">
      <c r="A7" s="20" t="s">
        <v>38</v>
      </c>
      <c r="B7" s="21"/>
      <c r="C7" s="21">
        <v>6394.0</v>
      </c>
      <c r="D7" s="19"/>
      <c r="E7" s="20" t="s">
        <v>39</v>
      </c>
      <c r="F7" s="21">
        <v>3962.0</v>
      </c>
    </row>
    <row r="8" ht="15.75" customHeight="1">
      <c r="A8" s="20" t="s">
        <v>40</v>
      </c>
      <c r="B8" s="21"/>
      <c r="C8" s="21">
        <v>21000.0</v>
      </c>
      <c r="D8" s="19"/>
      <c r="E8" s="20" t="s">
        <v>41</v>
      </c>
      <c r="F8" s="21">
        <v>500.0</v>
      </c>
    </row>
    <row r="9" ht="15.75" customHeight="1">
      <c r="A9" s="20" t="s">
        <v>42</v>
      </c>
      <c r="B9" s="21">
        <v>3962.0</v>
      </c>
      <c r="C9" s="21"/>
      <c r="D9" s="19"/>
      <c r="E9" s="22" t="s">
        <v>43</v>
      </c>
      <c r="F9" s="21">
        <v>4476.0</v>
      </c>
    </row>
    <row r="10" ht="15.75" customHeight="1">
      <c r="A10" s="20" t="s">
        <v>44</v>
      </c>
      <c r="B10" s="21">
        <v>17038.0</v>
      </c>
      <c r="C10" s="21"/>
      <c r="D10" s="19"/>
      <c r="E10" s="20" t="s">
        <v>45</v>
      </c>
      <c r="F10" s="21">
        <v>4025.0</v>
      </c>
    </row>
    <row r="11" ht="15.75" customHeight="1">
      <c r="A11" s="18" t="s">
        <v>46</v>
      </c>
      <c r="B11" s="23"/>
      <c r="C11" s="23">
        <f>SUM(C6:C8)</f>
        <v>52394</v>
      </c>
      <c r="D11" s="19"/>
      <c r="E11" s="18" t="s">
        <v>47</v>
      </c>
      <c r="F11" s="23">
        <f>SUM(F6:F10)</f>
        <v>52394</v>
      </c>
    </row>
    <row r="12" ht="15.75" customHeight="1">
      <c r="A12" s="24"/>
      <c r="B12" s="4"/>
      <c r="C12" s="4"/>
      <c r="D12" s="3"/>
      <c r="E12" s="3"/>
      <c r="F12" s="3"/>
    </row>
    <row r="13" ht="15.75" customHeight="1">
      <c r="A13" s="3"/>
      <c r="B13" s="25" t="s">
        <v>48</v>
      </c>
      <c r="F13" s="3"/>
    </row>
    <row r="14" ht="15.75" customHeight="1"/>
    <row r="15" ht="15.75" customHeight="1">
      <c r="A15" s="26" t="s">
        <v>49</v>
      </c>
      <c r="B15" s="26">
        <v>727.5</v>
      </c>
      <c r="C15" s="27">
        <f>B15/B17</f>
        <v>0.9086934799</v>
      </c>
    </row>
    <row r="16" ht="15.75" customHeight="1">
      <c r="A16" s="26" t="s">
        <v>50</v>
      </c>
      <c r="B16" s="28">
        <v>73.1</v>
      </c>
      <c r="C16" s="27">
        <f>B16/B17</f>
        <v>0.09130652011</v>
      </c>
    </row>
    <row r="17" ht="15.75" customHeight="1">
      <c r="A17" s="26" t="s">
        <v>51</v>
      </c>
      <c r="B17" s="26">
        <f>SUM(B15:B16)</f>
        <v>800.6</v>
      </c>
      <c r="C17" s="26"/>
    </row>
    <row r="18" ht="15.75" customHeight="1"/>
    <row r="19" ht="15.75" customHeight="1">
      <c r="A19" s="26" t="s">
        <v>52</v>
      </c>
      <c r="B19" s="29">
        <v>54.2</v>
      </c>
    </row>
    <row r="20" ht="15.75" customHeight="1">
      <c r="A20" s="26" t="s">
        <v>53</v>
      </c>
      <c r="B20" s="29">
        <v>43393.0</v>
      </c>
    </row>
    <row r="21" ht="15.75" customHeight="1">
      <c r="A21" s="26"/>
      <c r="B21" s="29"/>
    </row>
    <row r="22" ht="15.75" customHeight="1">
      <c r="A22" s="26" t="s">
        <v>54</v>
      </c>
      <c r="B22" s="29">
        <v>4253.0</v>
      </c>
    </row>
    <row r="23" ht="15.75" customHeight="1">
      <c r="A23" s="26" t="s">
        <v>55</v>
      </c>
      <c r="B23" s="29">
        <v>-6394.0</v>
      </c>
    </row>
    <row r="24" ht="15.75" customHeight="1">
      <c r="A24" s="30" t="s">
        <v>56</v>
      </c>
      <c r="B24" s="31">
        <f>B20+B22+B23</f>
        <v>41252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C2"/>
    <mergeCell ref="B13:E1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6.5"/>
    <col customWidth="1" min="2" max="6" width="12.63"/>
  </cols>
  <sheetData>
    <row r="1" ht="15.75" customHeight="1">
      <c r="A1" s="1" t="s">
        <v>57</v>
      </c>
      <c r="B1" s="3"/>
      <c r="C1" s="3"/>
      <c r="D1" s="3"/>
      <c r="E1" s="3"/>
      <c r="F1" s="3"/>
      <c r="G1" s="3"/>
      <c r="H1" s="3"/>
      <c r="I1" s="3"/>
    </row>
    <row r="2" ht="15.75" customHeight="1">
      <c r="A2" s="3"/>
      <c r="B2" s="3"/>
      <c r="C2" s="3"/>
      <c r="D2" s="3"/>
      <c r="E2" s="3"/>
      <c r="F2" s="3"/>
      <c r="G2" s="3"/>
      <c r="H2" s="3"/>
      <c r="I2" s="3"/>
    </row>
    <row r="3" ht="15.75" customHeight="1">
      <c r="A3" s="32" t="s">
        <v>58</v>
      </c>
      <c r="B3" s="32" t="s">
        <v>59</v>
      </c>
      <c r="C3" s="32" t="s">
        <v>60</v>
      </c>
      <c r="D3" s="32" t="s">
        <v>61</v>
      </c>
      <c r="E3" s="32" t="s">
        <v>62</v>
      </c>
      <c r="F3" s="32" t="s">
        <v>63</v>
      </c>
      <c r="G3" s="32" t="s">
        <v>64</v>
      </c>
      <c r="H3" s="32" t="s">
        <v>65</v>
      </c>
      <c r="I3" s="32" t="s">
        <v>66</v>
      </c>
    </row>
    <row r="4" ht="15.75" customHeight="1">
      <c r="A4" s="19" t="s">
        <v>67</v>
      </c>
      <c r="B4" s="33">
        <v>0.3663</v>
      </c>
      <c r="C4" s="34">
        <v>0.25</v>
      </c>
      <c r="D4" s="33">
        <v>0.15</v>
      </c>
      <c r="E4" s="33">
        <v>0.15</v>
      </c>
      <c r="F4" s="33">
        <v>0.15</v>
      </c>
      <c r="G4" s="33">
        <v>0.15</v>
      </c>
      <c r="H4" s="33">
        <v>0.15</v>
      </c>
      <c r="I4" s="34">
        <v>0.1</v>
      </c>
    </row>
    <row r="5" ht="15.75" customHeight="1">
      <c r="A5" s="19" t="s">
        <v>7</v>
      </c>
      <c r="B5" s="19"/>
      <c r="C5" s="19"/>
      <c r="D5" s="33">
        <v>0.095</v>
      </c>
      <c r="E5" s="33">
        <v>0.09</v>
      </c>
      <c r="F5" s="33">
        <v>0.085</v>
      </c>
      <c r="G5" s="33">
        <v>0.08</v>
      </c>
      <c r="H5" s="33">
        <v>0.075</v>
      </c>
      <c r="I5" s="19"/>
    </row>
    <row r="6" ht="15.75" customHeight="1">
      <c r="A6" s="19" t="s">
        <v>68</v>
      </c>
      <c r="B6" s="33">
        <v>0.1611</v>
      </c>
      <c r="C6" s="19"/>
      <c r="D6" s="33">
        <v>0.25</v>
      </c>
      <c r="E6" s="33">
        <v>0.25</v>
      </c>
      <c r="F6" s="33">
        <v>0.25</v>
      </c>
      <c r="G6" s="33">
        <v>0.25</v>
      </c>
      <c r="H6" s="33">
        <v>0.25</v>
      </c>
      <c r="I6" s="19"/>
    </row>
    <row r="7" ht="15.75" customHeight="1">
      <c r="A7" s="19" t="s">
        <v>69</v>
      </c>
      <c r="B7" s="19"/>
      <c r="C7" s="19"/>
      <c r="D7" s="33">
        <v>0.1</v>
      </c>
      <c r="E7" s="33">
        <v>0.1</v>
      </c>
      <c r="F7" s="33">
        <v>0.1</v>
      </c>
      <c r="G7" s="33">
        <v>0.1</v>
      </c>
      <c r="H7" s="33">
        <v>0.1</v>
      </c>
      <c r="I7" s="19"/>
    </row>
    <row r="8" ht="15.75" customHeight="1">
      <c r="A8" s="19" t="s">
        <v>70</v>
      </c>
      <c r="B8" s="19"/>
      <c r="C8" s="19"/>
      <c r="D8" s="33">
        <v>0.01</v>
      </c>
      <c r="E8" s="33">
        <v>0.01</v>
      </c>
      <c r="F8" s="33">
        <v>0.01</v>
      </c>
      <c r="G8" s="33">
        <v>0.01</v>
      </c>
      <c r="H8" s="33">
        <v>0.01</v>
      </c>
      <c r="I8" s="19"/>
    </row>
    <row r="9" ht="15.75" customHeight="1">
      <c r="A9" s="19" t="s">
        <v>71</v>
      </c>
      <c r="B9" s="19"/>
      <c r="C9" s="19"/>
      <c r="D9" s="19"/>
      <c r="E9" s="19"/>
      <c r="F9" s="19"/>
      <c r="G9" s="19"/>
      <c r="H9" s="19">
        <v>25.0</v>
      </c>
      <c r="I9" s="19"/>
    </row>
    <row r="10" ht="15.75" customHeight="1">
      <c r="A10" s="19" t="s">
        <v>72</v>
      </c>
      <c r="B10" s="19"/>
      <c r="C10" s="35">
        <v>25000.0</v>
      </c>
      <c r="D10" s="19"/>
      <c r="E10" s="19"/>
      <c r="F10" s="19"/>
      <c r="G10" s="19"/>
      <c r="H10" s="19"/>
      <c r="I10" s="19"/>
    </row>
    <row r="11" ht="15.75" customHeight="1">
      <c r="A11" s="19" t="s">
        <v>73</v>
      </c>
      <c r="B11" s="19"/>
      <c r="C11" s="34">
        <v>0.07</v>
      </c>
      <c r="D11" s="19"/>
      <c r="E11" s="19"/>
      <c r="F11" s="19"/>
      <c r="G11" s="19"/>
      <c r="H11" s="19"/>
      <c r="I11" s="19"/>
    </row>
    <row r="12" ht="15.75" customHeight="1">
      <c r="A12" s="19" t="s">
        <v>74</v>
      </c>
      <c r="B12" s="19"/>
      <c r="C12" s="34">
        <v>0.28</v>
      </c>
      <c r="D12" s="19"/>
      <c r="E12" s="19"/>
      <c r="F12" s="19"/>
      <c r="G12" s="19"/>
      <c r="H12" s="19"/>
      <c r="I12" s="19"/>
    </row>
    <row r="13" ht="15.75" customHeight="1">
      <c r="A13" s="19" t="s">
        <v>75</v>
      </c>
      <c r="B13" s="19"/>
      <c r="C13" s="34">
        <v>0.25</v>
      </c>
      <c r="D13" s="19"/>
      <c r="E13" s="19"/>
      <c r="F13" s="19"/>
      <c r="G13" s="19"/>
      <c r="H13" s="19"/>
      <c r="I13" s="19"/>
    </row>
    <row r="14" ht="15.75" customHeight="1">
      <c r="A14" s="19" t="s">
        <v>76</v>
      </c>
      <c r="B14" s="19"/>
      <c r="C14" s="34">
        <v>0.25</v>
      </c>
      <c r="D14" s="19"/>
      <c r="E14" s="19"/>
      <c r="F14" s="19"/>
      <c r="G14" s="19"/>
      <c r="H14" s="19"/>
      <c r="I14" s="19"/>
    </row>
    <row r="15" ht="15.75" customHeight="1"/>
    <row r="16" ht="15.75" customHeight="1"/>
    <row r="17" ht="15.75" customHeight="1">
      <c r="A17" s="1"/>
      <c r="B17" s="2">
        <v>2021.0</v>
      </c>
      <c r="C17" s="2" t="s">
        <v>60</v>
      </c>
      <c r="D17" s="2" t="s">
        <v>61</v>
      </c>
      <c r="E17" s="2" t="s">
        <v>62</v>
      </c>
      <c r="F17" s="2" t="s">
        <v>63</v>
      </c>
      <c r="G17" s="2" t="s">
        <v>64</v>
      </c>
      <c r="H17" s="2" t="s">
        <v>65</v>
      </c>
    </row>
    <row r="18" ht="15.75" customHeight="1">
      <c r="A18" s="3" t="s">
        <v>1</v>
      </c>
      <c r="B18" s="4">
        <f>'Financials '!D5</f>
        <v>5077.48</v>
      </c>
      <c r="C18" s="4">
        <f t="shared" ref="C18:H18" si="1">B18*(1+C4)</f>
        <v>6346.85</v>
      </c>
      <c r="D18" s="4">
        <f t="shared" si="1"/>
        <v>7298.8775</v>
      </c>
      <c r="E18" s="4">
        <f t="shared" si="1"/>
        <v>8393.709125</v>
      </c>
      <c r="F18" s="4">
        <f t="shared" si="1"/>
        <v>9652.765494</v>
      </c>
      <c r="G18" s="4">
        <f t="shared" si="1"/>
        <v>11100.68032</v>
      </c>
      <c r="H18" s="4">
        <f t="shared" si="1"/>
        <v>12765.78237</v>
      </c>
    </row>
    <row r="19" ht="15.75" customHeight="1">
      <c r="A19" s="5" t="s">
        <v>77</v>
      </c>
      <c r="B19" s="6">
        <f>'Financials '!D6</f>
        <v>0.3662545239</v>
      </c>
      <c r="C19" s="6">
        <f t="shared" ref="C19:H19" si="2">C18/B18-1</f>
        <v>0.25</v>
      </c>
      <c r="D19" s="6">
        <f t="shared" si="2"/>
        <v>0.15</v>
      </c>
      <c r="E19" s="6">
        <f t="shared" si="2"/>
        <v>0.15</v>
      </c>
      <c r="F19" s="6">
        <f t="shared" si="2"/>
        <v>0.15</v>
      </c>
      <c r="G19" s="6">
        <f t="shared" si="2"/>
        <v>0.15</v>
      </c>
      <c r="H19" s="6">
        <f t="shared" si="2"/>
        <v>0.15</v>
      </c>
    </row>
    <row r="20" ht="15.75" customHeight="1">
      <c r="A20" s="3" t="s">
        <v>8</v>
      </c>
      <c r="B20" s="4">
        <f>'Financials '!D12</f>
        <v>817.81</v>
      </c>
      <c r="C20" s="4">
        <f>C18*C21</f>
        <v>1343.628145</v>
      </c>
      <c r="D20" s="4">
        <f t="shared" ref="D20:H20" si="3">D18*0.25</f>
        <v>1824.719375</v>
      </c>
      <c r="E20" s="4">
        <f t="shared" si="3"/>
        <v>2098.427281</v>
      </c>
      <c r="F20" s="4">
        <f t="shared" si="3"/>
        <v>2413.191373</v>
      </c>
      <c r="G20" s="4">
        <f t="shared" si="3"/>
        <v>2775.170079</v>
      </c>
      <c r="H20" s="4">
        <f t="shared" si="3"/>
        <v>3191.445591</v>
      </c>
    </row>
    <row r="21" ht="15.75" customHeight="1">
      <c r="A21" s="7" t="s">
        <v>68</v>
      </c>
      <c r="B21" s="6">
        <f>B20/B18</f>
        <v>0.1610661194</v>
      </c>
      <c r="C21" s="6">
        <v>0.2117</v>
      </c>
      <c r="D21" s="6">
        <f t="shared" ref="D21:H21" si="4">D20/D18</f>
        <v>0.25</v>
      </c>
      <c r="E21" s="6">
        <f t="shared" si="4"/>
        <v>0.25</v>
      </c>
      <c r="F21" s="6">
        <f t="shared" si="4"/>
        <v>0.25</v>
      </c>
      <c r="G21" s="6">
        <f t="shared" si="4"/>
        <v>0.25</v>
      </c>
      <c r="H21" s="6">
        <f t="shared" si="4"/>
        <v>0.25</v>
      </c>
    </row>
    <row r="22" ht="15.75" customHeight="1">
      <c r="A22" s="3" t="s">
        <v>7</v>
      </c>
      <c r="B22" s="4">
        <f>'Financials '!D11</f>
        <v>544.85</v>
      </c>
      <c r="C22" s="4">
        <f>C20-C23</f>
        <v>431.5858</v>
      </c>
      <c r="D22" s="4">
        <f t="shared" ref="D22:H22" si="5">D5*D18</f>
        <v>693.3933625</v>
      </c>
      <c r="E22" s="4">
        <f t="shared" si="5"/>
        <v>755.4338213</v>
      </c>
      <c r="F22" s="4">
        <f t="shared" si="5"/>
        <v>820.485067</v>
      </c>
      <c r="G22" s="4">
        <f t="shared" si="5"/>
        <v>888.0544254</v>
      </c>
      <c r="H22" s="4">
        <f t="shared" si="5"/>
        <v>957.4336774</v>
      </c>
    </row>
    <row r="23" ht="15.75" customHeight="1">
      <c r="A23" s="3" t="s">
        <v>78</v>
      </c>
      <c r="B23" s="4">
        <f>B20-B22</f>
        <v>272.96</v>
      </c>
      <c r="C23" s="4">
        <f>C18*14.37%</f>
        <v>912.042345</v>
      </c>
      <c r="D23" s="4">
        <f t="shared" ref="D23:H23" si="6">D20-D22</f>
        <v>1131.326013</v>
      </c>
      <c r="E23" s="4">
        <f t="shared" si="6"/>
        <v>1342.99346</v>
      </c>
      <c r="F23" s="4">
        <f t="shared" si="6"/>
        <v>1592.706306</v>
      </c>
      <c r="G23" s="4">
        <f t="shared" si="6"/>
        <v>1887.115654</v>
      </c>
      <c r="H23" s="4">
        <f t="shared" si="6"/>
        <v>2234.011914</v>
      </c>
    </row>
    <row r="24" ht="15.75" customHeight="1">
      <c r="A24" s="5" t="s">
        <v>79</v>
      </c>
      <c r="B24" s="6">
        <f t="shared" ref="B24:H24" si="7">B23/B18</f>
        <v>0.05375895129</v>
      </c>
      <c r="C24" s="6">
        <f t="shared" si="7"/>
        <v>0.1437</v>
      </c>
      <c r="D24" s="6">
        <f t="shared" si="7"/>
        <v>0.155</v>
      </c>
      <c r="E24" s="6">
        <f t="shared" si="7"/>
        <v>0.16</v>
      </c>
      <c r="F24" s="6">
        <f t="shared" si="7"/>
        <v>0.165</v>
      </c>
      <c r="G24" s="6">
        <f t="shared" si="7"/>
        <v>0.17</v>
      </c>
      <c r="H24" s="6">
        <f t="shared" si="7"/>
        <v>0.175</v>
      </c>
    </row>
    <row r="25" ht="15.75" customHeight="1">
      <c r="A25" s="3" t="s">
        <v>10</v>
      </c>
      <c r="B25" s="4">
        <f>'Financials '!D17</f>
        <v>81.63</v>
      </c>
      <c r="C25" s="4">
        <f>C11*C10</f>
        <v>1750</v>
      </c>
      <c r="D25" s="4">
        <f t="shared" ref="D25:H25" si="8">C25</f>
        <v>1750</v>
      </c>
      <c r="E25" s="4">
        <f t="shared" si="8"/>
        <v>1750</v>
      </c>
      <c r="F25" s="4">
        <f t="shared" si="8"/>
        <v>1750</v>
      </c>
      <c r="G25" s="4">
        <f t="shared" si="8"/>
        <v>1750</v>
      </c>
      <c r="H25" s="4">
        <f t="shared" si="8"/>
        <v>1750</v>
      </c>
    </row>
    <row r="26" ht="15.75" customHeight="1">
      <c r="A26" s="3" t="s">
        <v>80</v>
      </c>
      <c r="B26" s="4">
        <f>'Financials '!D18</f>
        <v>-411.11</v>
      </c>
      <c r="C26" s="4">
        <f t="shared" ref="C26:H26" si="9">C23-C25</f>
        <v>-837.957655</v>
      </c>
      <c r="D26" s="4">
        <f t="shared" si="9"/>
        <v>-618.6739875</v>
      </c>
      <c r="E26" s="4">
        <f t="shared" si="9"/>
        <v>-407.00654</v>
      </c>
      <c r="F26" s="4">
        <f t="shared" si="9"/>
        <v>-157.2936935</v>
      </c>
      <c r="G26" s="4">
        <f t="shared" si="9"/>
        <v>137.115654</v>
      </c>
      <c r="H26" s="4">
        <f t="shared" si="9"/>
        <v>484.011914</v>
      </c>
    </row>
    <row r="27" ht="15.75" customHeight="1">
      <c r="A27" s="3" t="s">
        <v>81</v>
      </c>
      <c r="B27" s="4">
        <f>'Financials '!D19</f>
        <v>189.7</v>
      </c>
      <c r="C27" s="4">
        <v>0.0</v>
      </c>
      <c r="D27" s="4">
        <v>0.0</v>
      </c>
      <c r="E27" s="4">
        <v>0.0</v>
      </c>
      <c r="F27" s="4">
        <v>0.0</v>
      </c>
      <c r="G27" s="4">
        <f t="shared" ref="G27:H27" si="10">$C$12*G26</f>
        <v>38.39238313</v>
      </c>
      <c r="H27" s="4">
        <f t="shared" si="10"/>
        <v>135.5233359</v>
      </c>
    </row>
    <row r="28" ht="15.75" customHeight="1">
      <c r="A28" s="9" t="s">
        <v>82</v>
      </c>
      <c r="B28" s="36">
        <f t="shared" ref="B28:F28" si="11">B26+B27</f>
        <v>-221.41</v>
      </c>
      <c r="C28" s="36">
        <f t="shared" si="11"/>
        <v>-837.957655</v>
      </c>
      <c r="D28" s="36">
        <f t="shared" si="11"/>
        <v>-618.6739875</v>
      </c>
      <c r="E28" s="36">
        <f t="shared" si="11"/>
        <v>-407.00654</v>
      </c>
      <c r="F28" s="36">
        <f t="shared" si="11"/>
        <v>-157.2936935</v>
      </c>
      <c r="G28" s="36">
        <f t="shared" ref="G28:H28" si="12">G26-G27</f>
        <v>98.7232709</v>
      </c>
      <c r="H28" s="36">
        <f t="shared" si="12"/>
        <v>348.4885781</v>
      </c>
    </row>
    <row r="29" ht="15.75" customHeight="1">
      <c r="A29" s="5" t="s">
        <v>83</v>
      </c>
      <c r="B29" s="6">
        <f t="shared" ref="B29:H29" si="13">B28/B18</f>
        <v>-0.04360627713</v>
      </c>
      <c r="C29" s="6">
        <f t="shared" si="13"/>
        <v>-0.1320273293</v>
      </c>
      <c r="D29" s="6">
        <f t="shared" si="13"/>
        <v>-0.08476289505</v>
      </c>
      <c r="E29" s="6">
        <f t="shared" si="13"/>
        <v>-0.04848947395</v>
      </c>
      <c r="F29" s="6">
        <f t="shared" si="13"/>
        <v>-0.01629519474</v>
      </c>
      <c r="G29" s="6">
        <f t="shared" si="13"/>
        <v>0.008893443291</v>
      </c>
      <c r="H29" s="6">
        <f t="shared" si="13"/>
        <v>0.02729864634</v>
      </c>
    </row>
    <row r="30" ht="15.75" customHeight="1">
      <c r="A30" s="3" t="s">
        <v>84</v>
      </c>
      <c r="B30" s="4"/>
      <c r="C30" s="4">
        <f t="shared" ref="C30:H30" si="14">C18*10%</f>
        <v>634.685</v>
      </c>
      <c r="D30" s="4">
        <f t="shared" si="14"/>
        <v>729.88775</v>
      </c>
      <c r="E30" s="4">
        <f t="shared" si="14"/>
        <v>839.3709125</v>
      </c>
      <c r="F30" s="4">
        <f t="shared" si="14"/>
        <v>965.2765494</v>
      </c>
      <c r="G30" s="4">
        <f t="shared" si="14"/>
        <v>1110.068032</v>
      </c>
      <c r="H30" s="4">
        <f t="shared" si="14"/>
        <v>1276.578237</v>
      </c>
    </row>
    <row r="31" ht="15.75" customHeight="1">
      <c r="A31" s="3" t="str">
        <f>A22</f>
        <v>Depreciation &amp; Amortization</v>
      </c>
      <c r="B31" s="4"/>
      <c r="C31" s="4">
        <f t="shared" ref="C31:H31" si="15">C22</f>
        <v>431.5858</v>
      </c>
      <c r="D31" s="4">
        <f t="shared" si="15"/>
        <v>693.3933625</v>
      </c>
      <c r="E31" s="4">
        <f t="shared" si="15"/>
        <v>755.4338213</v>
      </c>
      <c r="F31" s="4">
        <f t="shared" si="15"/>
        <v>820.485067</v>
      </c>
      <c r="G31" s="4">
        <f t="shared" si="15"/>
        <v>888.0544254</v>
      </c>
      <c r="H31" s="4">
        <f t="shared" si="15"/>
        <v>957.4336774</v>
      </c>
    </row>
    <row r="32" ht="15.75" customHeight="1">
      <c r="A32" s="3" t="s">
        <v>85</v>
      </c>
      <c r="B32" s="4"/>
      <c r="C32" s="4">
        <f t="shared" ref="C32:H32" si="16">0.01*(C18-B18)</f>
        <v>12.6937</v>
      </c>
      <c r="D32" s="4">
        <f t="shared" si="16"/>
        <v>9.520275</v>
      </c>
      <c r="E32" s="4">
        <f t="shared" si="16"/>
        <v>10.94831625</v>
      </c>
      <c r="F32" s="4">
        <f t="shared" si="16"/>
        <v>12.59056369</v>
      </c>
      <c r="G32" s="4">
        <f t="shared" si="16"/>
        <v>14.47914824</v>
      </c>
      <c r="H32" s="4">
        <f t="shared" si="16"/>
        <v>16.65102048</v>
      </c>
    </row>
    <row r="33" ht="15.75" customHeight="1">
      <c r="A33" s="3" t="s">
        <v>86</v>
      </c>
      <c r="B33" s="4"/>
      <c r="C33" s="4">
        <f t="shared" ref="C33:H33" si="17">C28-C30+C31-C32</f>
        <v>-1053.750555</v>
      </c>
      <c r="D33" s="4">
        <f t="shared" si="17"/>
        <v>-664.68865</v>
      </c>
      <c r="E33" s="4">
        <f t="shared" si="17"/>
        <v>-501.8919475</v>
      </c>
      <c r="F33" s="4">
        <f t="shared" si="17"/>
        <v>-314.6757396</v>
      </c>
      <c r="G33" s="4">
        <f t="shared" si="17"/>
        <v>-137.7694837</v>
      </c>
      <c r="H33" s="4">
        <f t="shared" si="17"/>
        <v>12.69299844</v>
      </c>
    </row>
    <row r="34" ht="15.75" customHeight="1">
      <c r="A34" s="3" t="s">
        <v>87</v>
      </c>
      <c r="B34" s="4"/>
      <c r="C34" s="4" t="s">
        <v>88</v>
      </c>
      <c r="D34" s="4" t="s">
        <v>88</v>
      </c>
      <c r="E34" s="4" t="s">
        <v>88</v>
      </c>
      <c r="F34" s="4" t="s">
        <v>88</v>
      </c>
      <c r="G34" s="4" t="s">
        <v>88</v>
      </c>
      <c r="H34" s="4" t="s">
        <v>88</v>
      </c>
    </row>
    <row r="35" ht="15.75" customHeight="1">
      <c r="A35" s="3" t="s">
        <v>89</v>
      </c>
      <c r="B35" s="4"/>
      <c r="C35" s="4">
        <f t="shared" ref="C35:H35" si="18">C33</f>
        <v>-1053.750555</v>
      </c>
      <c r="D35" s="4">
        <f t="shared" si="18"/>
        <v>-664.68865</v>
      </c>
      <c r="E35" s="4">
        <f t="shared" si="18"/>
        <v>-501.8919475</v>
      </c>
      <c r="F35" s="4">
        <f t="shared" si="18"/>
        <v>-314.6757396</v>
      </c>
      <c r="G35" s="4">
        <f t="shared" si="18"/>
        <v>-137.7694837</v>
      </c>
      <c r="H35" s="4">
        <f t="shared" si="18"/>
        <v>12.69299844</v>
      </c>
    </row>
    <row r="36" ht="15.75" customHeight="1">
      <c r="A36" s="3" t="s">
        <v>90</v>
      </c>
      <c r="B36" s="3"/>
      <c r="C36" s="3"/>
      <c r="D36" s="3"/>
      <c r="E36" s="3"/>
      <c r="F36" s="3"/>
      <c r="G36" s="3"/>
      <c r="H36" s="4">
        <f>'Return Analysis'!G6</f>
        <v>79786.13978</v>
      </c>
    </row>
    <row r="37" ht="15.75" customHeight="1">
      <c r="A37" s="3" t="s">
        <v>91</v>
      </c>
      <c r="B37" s="3"/>
      <c r="C37" s="3"/>
      <c r="D37" s="3"/>
      <c r="E37" s="3"/>
      <c r="F37" s="3"/>
      <c r="G37" s="3"/>
      <c r="H37" s="4">
        <f>'Return Analysis'!G9</f>
        <v>55637.3588</v>
      </c>
    </row>
    <row r="38" ht="15.75" customHeight="1">
      <c r="A38" s="3" t="s">
        <v>92</v>
      </c>
      <c r="B38" s="3"/>
      <c r="C38" s="3"/>
      <c r="D38" s="3"/>
      <c r="E38" s="3"/>
      <c r="F38" s="3"/>
      <c r="G38" s="3"/>
      <c r="H38" s="4">
        <f>H37+H35</f>
        <v>55650.05179</v>
      </c>
    </row>
    <row r="39" ht="15.75" customHeight="1">
      <c r="A39" s="3" t="s">
        <v>93</v>
      </c>
      <c r="B39" s="3"/>
      <c r="C39" s="3"/>
      <c r="D39" s="3"/>
      <c r="E39" s="3"/>
      <c r="F39" s="3"/>
      <c r="G39" s="3"/>
      <c r="H39" s="4">
        <f>H38/(1.25)^6</f>
        <v>14588.32718</v>
      </c>
    </row>
    <row r="40" ht="15.75" customHeight="1">
      <c r="A40" s="3" t="s">
        <v>94</v>
      </c>
      <c r="B40" s="3"/>
      <c r="C40" s="3"/>
      <c r="D40" s="3"/>
      <c r="E40" s="3"/>
      <c r="F40" s="3"/>
      <c r="G40" s="3"/>
      <c r="H40" s="8">
        <f>'Financials '!D25-'Transaction Summary'!F10</f>
        <v>-1838.45</v>
      </c>
      <c r="K40" s="37"/>
      <c r="L40" s="37"/>
      <c r="M40" s="37"/>
      <c r="N40" s="37"/>
      <c r="O40" s="37"/>
      <c r="P40" s="37"/>
    </row>
    <row r="41" ht="15.75" customHeight="1">
      <c r="A41" s="3" t="s">
        <v>95</v>
      </c>
      <c r="B41" s="3"/>
      <c r="C41" s="3"/>
      <c r="D41" s="3"/>
      <c r="E41" s="3"/>
      <c r="F41" s="3"/>
      <c r="G41" s="3"/>
      <c r="H41" s="4">
        <f>H38+H40</f>
        <v>53811.60179</v>
      </c>
      <c r="K41" s="37"/>
      <c r="L41" s="37"/>
      <c r="M41" s="37"/>
      <c r="N41" s="37"/>
      <c r="O41" s="37"/>
      <c r="P41" s="37"/>
    </row>
    <row r="42" ht="15.75" customHeight="1">
      <c r="A42" s="3" t="s">
        <v>96</v>
      </c>
      <c r="B42" s="3"/>
      <c r="C42" s="3"/>
      <c r="D42" s="3"/>
      <c r="E42" s="3"/>
      <c r="F42" s="3"/>
      <c r="G42" s="3"/>
      <c r="H42" s="4">
        <f>H41/'Transaction Summary'!B17</f>
        <v>67.21409167</v>
      </c>
      <c r="K42" s="38">
        <f>-'Transaction Summary'!B9</f>
        <v>-3962</v>
      </c>
      <c r="L42" s="37">
        <v>0.0</v>
      </c>
      <c r="M42" s="37">
        <v>0.0</v>
      </c>
      <c r="N42" s="37">
        <v>0.0</v>
      </c>
      <c r="O42" s="37">
        <v>0.0</v>
      </c>
      <c r="P42" s="38">
        <f>B47</f>
        <v>10152.45554</v>
      </c>
    </row>
    <row r="43" ht="15.75" customHeight="1">
      <c r="A43" s="3"/>
      <c r="B43" s="3"/>
      <c r="C43" s="3"/>
      <c r="D43" s="3"/>
      <c r="E43" s="3"/>
      <c r="F43" s="3"/>
      <c r="G43" s="3"/>
      <c r="H43" s="3"/>
      <c r="K43" s="37"/>
      <c r="L43" s="37"/>
      <c r="M43" s="37"/>
      <c r="N43" s="37"/>
      <c r="O43" s="37"/>
      <c r="P43" s="37"/>
    </row>
    <row r="44" ht="15.75" customHeight="1">
      <c r="A44" s="3" t="s">
        <v>97</v>
      </c>
      <c r="B44" s="39">
        <f>'Transaction Summary'!B9/'Transaction Summary'!C8</f>
        <v>0.1886666667</v>
      </c>
      <c r="C44" s="3"/>
      <c r="D44" s="3"/>
      <c r="E44" s="3"/>
      <c r="F44" s="3"/>
      <c r="G44" s="3"/>
      <c r="H44" s="3"/>
      <c r="K44" s="37"/>
      <c r="L44" s="37"/>
      <c r="M44" s="37"/>
      <c r="N44" s="37"/>
      <c r="O44" s="37"/>
      <c r="P44" s="37"/>
    </row>
    <row r="45" ht="15.75" customHeight="1">
      <c r="A45" s="3" t="s">
        <v>98</v>
      </c>
      <c r="B45" s="39">
        <f>1-B44</f>
        <v>0.8113333333</v>
      </c>
      <c r="C45" s="3"/>
      <c r="D45" s="3"/>
      <c r="E45" s="3"/>
      <c r="F45" s="3"/>
      <c r="G45" s="3"/>
      <c r="H45" s="3"/>
      <c r="K45" s="37"/>
      <c r="L45" s="37"/>
      <c r="M45" s="37"/>
      <c r="N45" s="37"/>
      <c r="O45" s="37"/>
      <c r="P45" s="37"/>
    </row>
    <row r="46" ht="15.75" customHeight="1">
      <c r="A46" s="3"/>
      <c r="B46" s="3"/>
      <c r="C46" s="3"/>
      <c r="D46" s="3"/>
      <c r="E46" s="40"/>
      <c r="F46" s="40"/>
      <c r="G46" s="40"/>
      <c r="H46" s="40"/>
      <c r="I46" s="37"/>
      <c r="J46" s="37"/>
      <c r="K46" s="37"/>
      <c r="L46" s="37"/>
      <c r="M46" s="37"/>
      <c r="N46" s="37"/>
      <c r="O46" s="37"/>
      <c r="P46" s="37"/>
    </row>
    <row r="47" ht="15.75" customHeight="1">
      <c r="A47" s="3" t="s">
        <v>99</v>
      </c>
      <c r="B47" s="4">
        <f>H41*B44</f>
        <v>10152.45554</v>
      </c>
      <c r="C47" s="3"/>
      <c r="D47" s="3"/>
      <c r="E47" s="41">
        <f>-'Transaction Summary'!B10</f>
        <v>-17038</v>
      </c>
      <c r="F47" s="40">
        <v>0.0</v>
      </c>
      <c r="G47" s="40">
        <v>0.0</v>
      </c>
      <c r="H47" s="40">
        <v>0.0</v>
      </c>
      <c r="I47" s="37">
        <v>0.0</v>
      </c>
      <c r="J47" s="38">
        <f>B48</f>
        <v>43659.14626</v>
      </c>
      <c r="K47" s="37"/>
      <c r="L47" s="37"/>
      <c r="M47" s="37"/>
      <c r="N47" s="37"/>
      <c r="O47" s="37"/>
      <c r="P47" s="37"/>
    </row>
    <row r="48" ht="15.75" customHeight="1">
      <c r="A48" s="3" t="s">
        <v>100</v>
      </c>
      <c r="B48" s="4">
        <f>B45*H41</f>
        <v>43659.14626</v>
      </c>
      <c r="C48" s="3"/>
      <c r="D48" s="3"/>
      <c r="E48" s="40"/>
      <c r="F48" s="40"/>
      <c r="G48" s="40"/>
      <c r="H48" s="40"/>
      <c r="I48" s="37"/>
      <c r="J48" s="37"/>
      <c r="K48" s="37"/>
      <c r="L48" s="37"/>
      <c r="M48" s="37"/>
      <c r="N48" s="37"/>
      <c r="O48" s="37"/>
      <c r="P48" s="37"/>
    </row>
    <row r="49" ht="15.75" customHeight="1"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</row>
    <row r="50" ht="15.75" customHeight="1">
      <c r="A50" s="26" t="s">
        <v>101</v>
      </c>
      <c r="B50" s="42">
        <f>B47/'Transaction Summary'!B9</f>
        <v>2.562457228</v>
      </c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</row>
    <row r="51" ht="15.75" customHeight="1">
      <c r="A51" s="26" t="s">
        <v>102</v>
      </c>
      <c r="B51" s="42">
        <f>B48/'Transaction Summary'!B10</f>
        <v>2.562457228</v>
      </c>
      <c r="E51" s="37"/>
      <c r="F51" s="37"/>
      <c r="G51" s="37"/>
      <c r="H51" s="37"/>
      <c r="I51" s="37"/>
      <c r="J51" s="37"/>
      <c r="K51" s="37"/>
    </row>
    <row r="52" ht="15.75" customHeight="1">
      <c r="E52" s="37"/>
      <c r="F52" s="37"/>
      <c r="G52" s="37"/>
      <c r="H52" s="37"/>
      <c r="I52" s="37"/>
      <c r="J52" s="37"/>
      <c r="K52" s="37"/>
    </row>
    <row r="53" ht="15.75" customHeight="1">
      <c r="A53" s="30" t="s">
        <v>103</v>
      </c>
      <c r="B53" s="43">
        <f>IRR(K42:P42)</f>
        <v>0.2070668557</v>
      </c>
      <c r="C53" s="44" t="s">
        <v>104</v>
      </c>
      <c r="E53" s="37"/>
      <c r="F53" s="37"/>
      <c r="G53" s="37"/>
      <c r="H53" s="37"/>
      <c r="I53" s="37"/>
      <c r="J53" s="37"/>
      <c r="K53" s="37"/>
    </row>
    <row r="54" ht="15.75" customHeight="1">
      <c r="A54" s="30" t="s">
        <v>105</v>
      </c>
      <c r="B54" s="43">
        <f>IRR(E47:K47)</f>
        <v>0.2070668557</v>
      </c>
      <c r="E54" s="37"/>
      <c r="F54" s="37"/>
      <c r="G54" s="37"/>
      <c r="H54" s="37"/>
      <c r="I54" s="37"/>
      <c r="J54" s="37"/>
      <c r="K54" s="37"/>
    </row>
    <row r="55" ht="15.75" customHeight="1">
      <c r="E55" s="37"/>
      <c r="F55" s="37"/>
      <c r="G55" s="37"/>
      <c r="H55" s="37"/>
      <c r="I55" s="37"/>
      <c r="J55" s="37"/>
      <c r="K55" s="37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6.5"/>
    <col customWidth="1" min="2" max="6" width="12.63"/>
  </cols>
  <sheetData>
    <row r="1" ht="15.75" customHeight="1">
      <c r="A1" s="1" t="s">
        <v>57</v>
      </c>
      <c r="B1" s="3"/>
      <c r="C1" s="3"/>
      <c r="D1" s="3"/>
      <c r="E1" s="3"/>
      <c r="F1" s="3"/>
      <c r="G1" s="3"/>
      <c r="H1" s="3"/>
      <c r="I1" s="3"/>
    </row>
    <row r="2" ht="15.75" customHeight="1">
      <c r="A2" s="3"/>
      <c r="B2" s="3"/>
      <c r="C2" s="3"/>
      <c r="D2" s="3"/>
      <c r="E2" s="3"/>
      <c r="F2" s="3"/>
      <c r="G2" s="3"/>
      <c r="H2" s="3"/>
      <c r="I2" s="3"/>
    </row>
    <row r="3" ht="15.75" customHeight="1">
      <c r="A3" s="32" t="s">
        <v>58</v>
      </c>
      <c r="B3" s="32" t="s">
        <v>59</v>
      </c>
      <c r="C3" s="32" t="s">
        <v>60</v>
      </c>
      <c r="D3" s="32" t="s">
        <v>61</v>
      </c>
      <c r="E3" s="32" t="s">
        <v>62</v>
      </c>
      <c r="F3" s="32" t="s">
        <v>63</v>
      </c>
      <c r="G3" s="32" t="s">
        <v>64</v>
      </c>
      <c r="H3" s="32" t="s">
        <v>65</v>
      </c>
      <c r="I3" s="32" t="s">
        <v>66</v>
      </c>
    </row>
    <row r="4" ht="15.75" customHeight="1">
      <c r="A4" s="19" t="s">
        <v>67</v>
      </c>
      <c r="B4" s="33">
        <v>0.3663</v>
      </c>
      <c r="C4" s="34">
        <v>0.25</v>
      </c>
      <c r="D4" s="33">
        <v>0.125</v>
      </c>
      <c r="E4" s="33">
        <v>0.125</v>
      </c>
      <c r="F4" s="33">
        <v>0.125</v>
      </c>
      <c r="G4" s="33">
        <v>0.125</v>
      </c>
      <c r="H4" s="33">
        <v>0.125</v>
      </c>
      <c r="I4" s="34">
        <v>0.1</v>
      </c>
    </row>
    <row r="5" ht="15.75" customHeight="1">
      <c r="A5" s="19" t="s">
        <v>7</v>
      </c>
      <c r="B5" s="19"/>
      <c r="C5" s="19"/>
      <c r="D5" s="33">
        <v>0.095</v>
      </c>
      <c r="E5" s="33">
        <v>0.09</v>
      </c>
      <c r="F5" s="33">
        <v>0.085</v>
      </c>
      <c r="G5" s="33">
        <v>0.08</v>
      </c>
      <c r="H5" s="33">
        <v>0.075</v>
      </c>
      <c r="I5" s="19"/>
    </row>
    <row r="6" ht="15.75" customHeight="1">
      <c r="A6" s="19" t="s">
        <v>68</v>
      </c>
      <c r="B6" s="33">
        <v>0.1611</v>
      </c>
      <c r="C6" s="19"/>
      <c r="D6" s="33">
        <v>0.225</v>
      </c>
      <c r="E6" s="33">
        <v>0.225</v>
      </c>
      <c r="F6" s="33">
        <v>0.225</v>
      </c>
      <c r="G6" s="33">
        <v>0.225</v>
      </c>
      <c r="H6" s="33">
        <v>0.225</v>
      </c>
      <c r="I6" s="19"/>
    </row>
    <row r="7" ht="15.75" customHeight="1">
      <c r="A7" s="19" t="s">
        <v>69</v>
      </c>
      <c r="B7" s="19"/>
      <c r="C7" s="19"/>
      <c r="D7" s="33">
        <v>0.1</v>
      </c>
      <c r="E7" s="33">
        <v>0.1</v>
      </c>
      <c r="F7" s="33">
        <v>0.1</v>
      </c>
      <c r="G7" s="33">
        <v>0.1</v>
      </c>
      <c r="H7" s="33">
        <v>0.1</v>
      </c>
      <c r="I7" s="19"/>
    </row>
    <row r="8" ht="15.75" customHeight="1">
      <c r="A8" s="19" t="s">
        <v>70</v>
      </c>
      <c r="B8" s="19"/>
      <c r="C8" s="19"/>
      <c r="D8" s="33">
        <v>0.01</v>
      </c>
      <c r="E8" s="33">
        <v>0.01</v>
      </c>
      <c r="F8" s="33">
        <v>0.01</v>
      </c>
      <c r="G8" s="33">
        <v>0.01</v>
      </c>
      <c r="H8" s="33">
        <v>0.01</v>
      </c>
      <c r="I8" s="19"/>
    </row>
    <row r="9" ht="15.75" customHeight="1">
      <c r="A9" s="19" t="s">
        <v>71</v>
      </c>
      <c r="B9" s="19"/>
      <c r="C9" s="19"/>
      <c r="D9" s="19"/>
      <c r="E9" s="19"/>
      <c r="F9" s="19"/>
      <c r="G9" s="19"/>
      <c r="H9" s="19">
        <v>22.5</v>
      </c>
      <c r="I9" s="19"/>
    </row>
    <row r="10" ht="15.75" customHeight="1">
      <c r="A10" s="19" t="s">
        <v>72</v>
      </c>
      <c r="B10" s="19"/>
      <c r="C10" s="35">
        <v>25000.0</v>
      </c>
      <c r="D10" s="19"/>
      <c r="E10" s="19"/>
      <c r="F10" s="19"/>
      <c r="G10" s="19"/>
      <c r="H10" s="19"/>
      <c r="I10" s="19"/>
    </row>
    <row r="11" ht="15.75" customHeight="1">
      <c r="A11" s="19" t="s">
        <v>73</v>
      </c>
      <c r="B11" s="19"/>
      <c r="C11" s="34">
        <v>0.07</v>
      </c>
      <c r="D11" s="19"/>
      <c r="E11" s="19"/>
      <c r="F11" s="19"/>
      <c r="G11" s="19"/>
      <c r="H11" s="19"/>
      <c r="I11" s="19"/>
    </row>
    <row r="12" ht="15.75" customHeight="1">
      <c r="A12" s="19" t="s">
        <v>74</v>
      </c>
      <c r="B12" s="19"/>
      <c r="C12" s="34">
        <v>0.28</v>
      </c>
      <c r="D12" s="19"/>
      <c r="E12" s="19"/>
      <c r="F12" s="19"/>
      <c r="G12" s="19"/>
      <c r="H12" s="19"/>
      <c r="I12" s="19"/>
    </row>
    <row r="13" ht="15.75" customHeight="1">
      <c r="A13" s="19" t="s">
        <v>75</v>
      </c>
      <c r="B13" s="19"/>
      <c r="C13" s="34">
        <v>0.25</v>
      </c>
      <c r="D13" s="19"/>
      <c r="E13" s="19"/>
      <c r="F13" s="19"/>
      <c r="G13" s="19"/>
      <c r="H13" s="19"/>
      <c r="I13" s="19"/>
    </row>
    <row r="14" ht="15.75" customHeight="1">
      <c r="A14" s="19" t="s">
        <v>76</v>
      </c>
      <c r="B14" s="19"/>
      <c r="C14" s="34">
        <v>0.25</v>
      </c>
      <c r="D14" s="19"/>
      <c r="E14" s="19"/>
      <c r="F14" s="19"/>
      <c r="G14" s="19"/>
      <c r="H14" s="19"/>
      <c r="I14" s="19"/>
    </row>
    <row r="15" ht="15.75" customHeight="1"/>
    <row r="16" ht="15.75" customHeight="1"/>
    <row r="17" ht="15.75" customHeight="1">
      <c r="A17" s="1"/>
      <c r="B17" s="2">
        <v>2021.0</v>
      </c>
      <c r="C17" s="2" t="s">
        <v>60</v>
      </c>
      <c r="D17" s="2" t="s">
        <v>61</v>
      </c>
      <c r="E17" s="2" t="s">
        <v>62</v>
      </c>
      <c r="F17" s="2" t="s">
        <v>63</v>
      </c>
      <c r="G17" s="2" t="s">
        <v>64</v>
      </c>
      <c r="H17" s="2" t="s">
        <v>65</v>
      </c>
    </row>
    <row r="18" ht="15.75" customHeight="1">
      <c r="A18" s="3" t="s">
        <v>1</v>
      </c>
      <c r="B18" s="4">
        <f>'Financials '!D5</f>
        <v>5077.48</v>
      </c>
      <c r="C18" s="4">
        <f t="shared" ref="C18:H18" si="1">B18*(1+C4)</f>
        <v>6346.85</v>
      </c>
      <c r="D18" s="4">
        <f t="shared" si="1"/>
        <v>7140.20625</v>
      </c>
      <c r="E18" s="4">
        <f t="shared" si="1"/>
        <v>8032.732031</v>
      </c>
      <c r="F18" s="4">
        <f t="shared" si="1"/>
        <v>9036.823535</v>
      </c>
      <c r="G18" s="4">
        <f t="shared" si="1"/>
        <v>10166.42648</v>
      </c>
      <c r="H18" s="4">
        <f t="shared" si="1"/>
        <v>11437.22979</v>
      </c>
    </row>
    <row r="19" ht="15.75" customHeight="1">
      <c r="A19" s="5" t="s">
        <v>77</v>
      </c>
      <c r="B19" s="6">
        <f>'Financials '!D6</f>
        <v>0.3662545239</v>
      </c>
      <c r="C19" s="6">
        <f t="shared" ref="C19:H19" si="2">C18/B18-1</f>
        <v>0.25</v>
      </c>
      <c r="D19" s="6">
        <f t="shared" si="2"/>
        <v>0.125</v>
      </c>
      <c r="E19" s="6">
        <f t="shared" si="2"/>
        <v>0.125</v>
      </c>
      <c r="F19" s="6">
        <f t="shared" si="2"/>
        <v>0.125</v>
      </c>
      <c r="G19" s="6">
        <f t="shared" si="2"/>
        <v>0.125</v>
      </c>
      <c r="H19" s="6">
        <f t="shared" si="2"/>
        <v>0.125</v>
      </c>
    </row>
    <row r="20" ht="15.75" customHeight="1">
      <c r="A20" s="3" t="s">
        <v>8</v>
      </c>
      <c r="B20" s="4">
        <f>'Financials '!D12</f>
        <v>817.81</v>
      </c>
      <c r="C20" s="4">
        <f>C18*C21</f>
        <v>1343.628145</v>
      </c>
      <c r="D20" s="4">
        <f t="shared" ref="D20:H20" si="3">D18*0.225</f>
        <v>1606.546406</v>
      </c>
      <c r="E20" s="4">
        <f t="shared" si="3"/>
        <v>1807.364707</v>
      </c>
      <c r="F20" s="4">
        <f t="shared" si="3"/>
        <v>2033.285295</v>
      </c>
      <c r="G20" s="4">
        <f t="shared" si="3"/>
        <v>2287.445957</v>
      </c>
      <c r="H20" s="4">
        <f t="shared" si="3"/>
        <v>2573.376702</v>
      </c>
    </row>
    <row r="21" ht="15.75" customHeight="1">
      <c r="A21" s="7" t="s">
        <v>68</v>
      </c>
      <c r="B21" s="6">
        <f>B20/B18</f>
        <v>0.1610661194</v>
      </c>
      <c r="C21" s="6">
        <v>0.2117</v>
      </c>
      <c r="D21" s="6">
        <f t="shared" ref="D21:H21" si="4">D20/D18</f>
        <v>0.225</v>
      </c>
      <c r="E21" s="6">
        <f t="shared" si="4"/>
        <v>0.225</v>
      </c>
      <c r="F21" s="6">
        <f t="shared" si="4"/>
        <v>0.225</v>
      </c>
      <c r="G21" s="6">
        <f t="shared" si="4"/>
        <v>0.225</v>
      </c>
      <c r="H21" s="6">
        <f t="shared" si="4"/>
        <v>0.225</v>
      </c>
    </row>
    <row r="22" ht="15.75" customHeight="1">
      <c r="A22" s="3" t="s">
        <v>7</v>
      </c>
      <c r="B22" s="4">
        <f>'Financials '!D11</f>
        <v>544.85</v>
      </c>
      <c r="C22" s="4">
        <f>C20-C23</f>
        <v>431.5858</v>
      </c>
      <c r="D22" s="4">
        <f t="shared" ref="D22:H22" si="5">D5*D18</f>
        <v>678.3195938</v>
      </c>
      <c r="E22" s="4">
        <f t="shared" si="5"/>
        <v>722.9458828</v>
      </c>
      <c r="F22" s="4">
        <f t="shared" si="5"/>
        <v>768.1300005</v>
      </c>
      <c r="G22" s="4">
        <f t="shared" si="5"/>
        <v>813.3141182</v>
      </c>
      <c r="H22" s="4">
        <f t="shared" si="5"/>
        <v>857.792234</v>
      </c>
    </row>
    <row r="23" ht="15.75" customHeight="1">
      <c r="A23" s="3" t="s">
        <v>78</v>
      </c>
      <c r="B23" s="4">
        <f>B20-B22</f>
        <v>272.96</v>
      </c>
      <c r="C23" s="4">
        <f>C18*14.37%</f>
        <v>912.042345</v>
      </c>
      <c r="D23" s="4">
        <f t="shared" ref="D23:H23" si="6">D20-D22</f>
        <v>928.2268125</v>
      </c>
      <c r="E23" s="4">
        <f t="shared" si="6"/>
        <v>1084.418824</v>
      </c>
      <c r="F23" s="4">
        <f t="shared" si="6"/>
        <v>1265.155295</v>
      </c>
      <c r="G23" s="4">
        <f t="shared" si="6"/>
        <v>1474.131839</v>
      </c>
      <c r="H23" s="4">
        <f t="shared" si="6"/>
        <v>1715.584468</v>
      </c>
    </row>
    <row r="24" ht="15.75" customHeight="1">
      <c r="A24" s="5" t="s">
        <v>79</v>
      </c>
      <c r="B24" s="6">
        <f t="shared" ref="B24:H24" si="7">B23/B18</f>
        <v>0.05375895129</v>
      </c>
      <c r="C24" s="6">
        <f t="shared" si="7"/>
        <v>0.1437</v>
      </c>
      <c r="D24" s="6">
        <f t="shared" si="7"/>
        <v>0.13</v>
      </c>
      <c r="E24" s="6">
        <f t="shared" si="7"/>
        <v>0.135</v>
      </c>
      <c r="F24" s="6">
        <f t="shared" si="7"/>
        <v>0.14</v>
      </c>
      <c r="G24" s="6">
        <f t="shared" si="7"/>
        <v>0.145</v>
      </c>
      <c r="H24" s="6">
        <f t="shared" si="7"/>
        <v>0.15</v>
      </c>
    </row>
    <row r="25" ht="15.75" customHeight="1">
      <c r="A25" s="3" t="s">
        <v>10</v>
      </c>
      <c r="B25" s="4">
        <f>'Financials '!D17</f>
        <v>81.63</v>
      </c>
      <c r="C25" s="4">
        <f>C11*C10</f>
        <v>1750</v>
      </c>
      <c r="D25" s="4">
        <f t="shared" ref="D25:H25" si="8">C25</f>
        <v>1750</v>
      </c>
      <c r="E25" s="4">
        <f t="shared" si="8"/>
        <v>1750</v>
      </c>
      <c r="F25" s="4">
        <f t="shared" si="8"/>
        <v>1750</v>
      </c>
      <c r="G25" s="4">
        <f t="shared" si="8"/>
        <v>1750</v>
      </c>
      <c r="H25" s="4">
        <f t="shared" si="8"/>
        <v>1750</v>
      </c>
    </row>
    <row r="26" ht="15.75" customHeight="1">
      <c r="A26" s="3" t="s">
        <v>80</v>
      </c>
      <c r="B26" s="4">
        <f>'Financials '!D18</f>
        <v>-411.11</v>
      </c>
      <c r="C26" s="4">
        <f t="shared" ref="C26:H26" si="9">C23-C25</f>
        <v>-837.957655</v>
      </c>
      <c r="D26" s="4">
        <f t="shared" si="9"/>
        <v>-821.7731875</v>
      </c>
      <c r="E26" s="4">
        <f t="shared" si="9"/>
        <v>-665.5811758</v>
      </c>
      <c r="F26" s="4">
        <f t="shared" si="9"/>
        <v>-484.8447051</v>
      </c>
      <c r="G26" s="4">
        <f t="shared" si="9"/>
        <v>-275.8681608</v>
      </c>
      <c r="H26" s="4">
        <f t="shared" si="9"/>
        <v>-34.415532</v>
      </c>
    </row>
    <row r="27" ht="15.75" customHeight="1">
      <c r="A27" s="3" t="s">
        <v>81</v>
      </c>
      <c r="B27" s="4">
        <f>'Financials '!D19</f>
        <v>189.7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</row>
    <row r="28" ht="15.75" customHeight="1">
      <c r="A28" s="9" t="s">
        <v>82</v>
      </c>
      <c r="B28" s="36">
        <f t="shared" ref="B28:H28" si="10">B26+B27</f>
        <v>-221.41</v>
      </c>
      <c r="C28" s="36">
        <f t="shared" si="10"/>
        <v>-837.957655</v>
      </c>
      <c r="D28" s="36">
        <f t="shared" si="10"/>
        <v>-821.7731875</v>
      </c>
      <c r="E28" s="36">
        <f t="shared" si="10"/>
        <v>-665.5811758</v>
      </c>
      <c r="F28" s="36">
        <f t="shared" si="10"/>
        <v>-484.8447051</v>
      </c>
      <c r="G28" s="36">
        <f t="shared" si="10"/>
        <v>-275.8681608</v>
      </c>
      <c r="H28" s="36">
        <f t="shared" si="10"/>
        <v>-34.415532</v>
      </c>
    </row>
    <row r="29" ht="15.75" customHeight="1">
      <c r="A29" s="5" t="s">
        <v>83</v>
      </c>
      <c r="B29" s="6">
        <f t="shared" ref="B29:H29" si="11">B28/B18</f>
        <v>-0.04360627713</v>
      </c>
      <c r="C29" s="6">
        <f t="shared" si="11"/>
        <v>-0.1320273293</v>
      </c>
      <c r="D29" s="6">
        <f t="shared" si="11"/>
        <v>-0.1150909594</v>
      </c>
      <c r="E29" s="6">
        <f t="shared" si="11"/>
        <v>-0.08285863056</v>
      </c>
      <c r="F29" s="6">
        <f t="shared" si="11"/>
        <v>-0.05365211606</v>
      </c>
      <c r="G29" s="6">
        <f t="shared" si="11"/>
        <v>-0.02713521427</v>
      </c>
      <c r="H29" s="6">
        <f t="shared" si="11"/>
        <v>-0.003009079352</v>
      </c>
    </row>
    <row r="30" ht="15.75" customHeight="1">
      <c r="A30" s="3" t="s">
        <v>84</v>
      </c>
      <c r="B30" s="4"/>
      <c r="C30" s="4">
        <f t="shared" ref="C30:H30" si="12">C18*10%</f>
        <v>634.685</v>
      </c>
      <c r="D30" s="4">
        <f t="shared" si="12"/>
        <v>714.020625</v>
      </c>
      <c r="E30" s="4">
        <f t="shared" si="12"/>
        <v>803.2732031</v>
      </c>
      <c r="F30" s="4">
        <f t="shared" si="12"/>
        <v>903.6823535</v>
      </c>
      <c r="G30" s="4">
        <f t="shared" si="12"/>
        <v>1016.642648</v>
      </c>
      <c r="H30" s="4">
        <f t="shared" si="12"/>
        <v>1143.722979</v>
      </c>
    </row>
    <row r="31" ht="15.75" customHeight="1">
      <c r="A31" s="3" t="str">
        <f>A22</f>
        <v>Depreciation &amp; Amortization</v>
      </c>
      <c r="B31" s="4"/>
      <c r="C31" s="4">
        <f t="shared" ref="C31:H31" si="13">C22</f>
        <v>431.5858</v>
      </c>
      <c r="D31" s="4">
        <f t="shared" si="13"/>
        <v>678.3195938</v>
      </c>
      <c r="E31" s="4">
        <f t="shared" si="13"/>
        <v>722.9458828</v>
      </c>
      <c r="F31" s="4">
        <f t="shared" si="13"/>
        <v>768.1300005</v>
      </c>
      <c r="G31" s="4">
        <f t="shared" si="13"/>
        <v>813.3141182</v>
      </c>
      <c r="H31" s="4">
        <f t="shared" si="13"/>
        <v>857.792234</v>
      </c>
    </row>
    <row r="32" ht="15.75" customHeight="1">
      <c r="A32" s="3" t="s">
        <v>85</v>
      </c>
      <c r="B32" s="4"/>
      <c r="C32" s="4">
        <f t="shared" ref="C32:H32" si="14">0.01*(C18-B18)</f>
        <v>12.6937</v>
      </c>
      <c r="D32" s="4">
        <f t="shared" si="14"/>
        <v>7.9335625</v>
      </c>
      <c r="E32" s="4">
        <f t="shared" si="14"/>
        <v>8.925257813</v>
      </c>
      <c r="F32" s="4">
        <f t="shared" si="14"/>
        <v>10.04091504</v>
      </c>
      <c r="G32" s="4">
        <f t="shared" si="14"/>
        <v>11.29602942</v>
      </c>
      <c r="H32" s="4">
        <f t="shared" si="14"/>
        <v>12.7080331</v>
      </c>
    </row>
    <row r="33" ht="15.75" customHeight="1">
      <c r="A33" s="3" t="s">
        <v>86</v>
      </c>
      <c r="B33" s="4"/>
      <c r="C33" s="4">
        <f t="shared" ref="C33:H33" si="15">C28-C30+C31-C32</f>
        <v>-1053.750555</v>
      </c>
      <c r="D33" s="4">
        <f t="shared" si="15"/>
        <v>-865.4077813</v>
      </c>
      <c r="E33" s="4">
        <f t="shared" si="15"/>
        <v>-754.8337539</v>
      </c>
      <c r="F33" s="4">
        <f t="shared" si="15"/>
        <v>-630.4379731</v>
      </c>
      <c r="G33" s="4">
        <f t="shared" si="15"/>
        <v>-490.4927198</v>
      </c>
      <c r="H33" s="4">
        <f t="shared" si="15"/>
        <v>-333.0543098</v>
      </c>
    </row>
    <row r="34" ht="15.75" customHeight="1">
      <c r="A34" s="3" t="s">
        <v>87</v>
      </c>
      <c r="B34" s="4"/>
      <c r="C34" s="4" t="s">
        <v>88</v>
      </c>
      <c r="D34" s="4" t="s">
        <v>88</v>
      </c>
      <c r="E34" s="4" t="s">
        <v>88</v>
      </c>
      <c r="F34" s="4" t="s">
        <v>88</v>
      </c>
      <c r="G34" s="4" t="s">
        <v>88</v>
      </c>
      <c r="H34" s="4" t="s">
        <v>88</v>
      </c>
    </row>
    <row r="35" ht="15.75" customHeight="1">
      <c r="A35" s="3" t="s">
        <v>89</v>
      </c>
      <c r="B35" s="4"/>
      <c r="C35" s="4">
        <f t="shared" ref="C35:H35" si="16">C33</f>
        <v>-1053.750555</v>
      </c>
      <c r="D35" s="4">
        <f t="shared" si="16"/>
        <v>-865.4077813</v>
      </c>
      <c r="E35" s="4">
        <f t="shared" si="16"/>
        <v>-754.8337539</v>
      </c>
      <c r="F35" s="4">
        <f t="shared" si="16"/>
        <v>-630.4379731</v>
      </c>
      <c r="G35" s="4">
        <f t="shared" si="16"/>
        <v>-490.4927198</v>
      </c>
      <c r="H35" s="4">
        <f t="shared" si="16"/>
        <v>-333.0543098</v>
      </c>
    </row>
    <row r="36" ht="15.75" customHeight="1">
      <c r="A36" s="3" t="s">
        <v>90</v>
      </c>
      <c r="B36" s="3"/>
      <c r="C36" s="3"/>
      <c r="D36" s="3"/>
      <c r="E36" s="3"/>
      <c r="F36" s="3"/>
      <c r="G36" s="3"/>
      <c r="H36" s="4">
        <f>H20*22.5</f>
        <v>57900.9758</v>
      </c>
    </row>
    <row r="37" ht="15.75" customHeight="1">
      <c r="A37" s="3" t="s">
        <v>91</v>
      </c>
      <c r="B37" s="3"/>
      <c r="C37" s="3"/>
      <c r="D37" s="3"/>
      <c r="E37" s="3"/>
      <c r="F37" s="3"/>
      <c r="G37" s="3"/>
      <c r="H37" s="4">
        <f>H36-24148.78</f>
        <v>33752.1958</v>
      </c>
    </row>
    <row r="38" ht="15.75" customHeight="1">
      <c r="A38" s="3" t="s">
        <v>92</v>
      </c>
      <c r="B38" s="3"/>
      <c r="C38" s="3"/>
      <c r="D38" s="3"/>
      <c r="E38" s="3"/>
      <c r="F38" s="3"/>
      <c r="G38" s="3"/>
      <c r="H38" s="4">
        <f>H37+H35</f>
        <v>33419.14149</v>
      </c>
    </row>
    <row r="39" ht="15.75" customHeight="1">
      <c r="A39" s="3" t="s">
        <v>93</v>
      </c>
      <c r="B39" s="3"/>
      <c r="C39" s="3"/>
      <c r="D39" s="3"/>
      <c r="E39" s="3"/>
      <c r="F39" s="3"/>
      <c r="G39" s="3"/>
      <c r="H39" s="4">
        <f>H38/(1.25)^6</f>
        <v>8760.627426</v>
      </c>
    </row>
    <row r="40" ht="15.75" customHeight="1">
      <c r="A40" s="3" t="s">
        <v>94</v>
      </c>
      <c r="B40" s="3"/>
      <c r="C40" s="3"/>
      <c r="D40" s="3"/>
      <c r="E40" s="3"/>
      <c r="F40" s="3"/>
      <c r="G40" s="3"/>
      <c r="H40" s="8">
        <f>'Financials '!D25-'Transaction Summary'!F10</f>
        <v>-1838.45</v>
      </c>
      <c r="K40" s="37"/>
      <c r="L40" s="37"/>
      <c r="M40" s="37"/>
      <c r="N40" s="37"/>
      <c r="O40" s="37"/>
      <c r="P40" s="37"/>
    </row>
    <row r="41" ht="15.75" customHeight="1">
      <c r="A41" s="3" t="s">
        <v>95</v>
      </c>
      <c r="B41" s="3"/>
      <c r="C41" s="3"/>
      <c r="D41" s="3"/>
      <c r="E41" s="3"/>
      <c r="F41" s="3"/>
      <c r="G41" s="3"/>
      <c r="H41" s="4">
        <f>H38+H40</f>
        <v>31580.69149</v>
      </c>
      <c r="K41" s="37"/>
      <c r="L41" s="37"/>
      <c r="M41" s="37"/>
      <c r="N41" s="37"/>
      <c r="O41" s="37"/>
      <c r="P41" s="37"/>
    </row>
    <row r="42" ht="15.75" customHeight="1">
      <c r="A42" s="3" t="s">
        <v>96</v>
      </c>
      <c r="B42" s="3"/>
      <c r="C42" s="3"/>
      <c r="D42" s="3"/>
      <c r="E42" s="3"/>
      <c r="F42" s="3"/>
      <c r="G42" s="3"/>
      <c r="H42" s="4">
        <f>H41/'Transaction Summary'!B17</f>
        <v>39.44627965</v>
      </c>
      <c r="K42" s="38">
        <f>-'Transaction Summary'!B9</f>
        <v>-3962</v>
      </c>
      <c r="L42" s="37">
        <v>0.0</v>
      </c>
      <c r="M42" s="37">
        <v>0.0</v>
      </c>
      <c r="N42" s="37">
        <v>0.0</v>
      </c>
      <c r="O42" s="37">
        <v>0.0</v>
      </c>
      <c r="P42" s="38">
        <f>B47</f>
        <v>5958.223794</v>
      </c>
    </row>
    <row r="43" ht="15.75" customHeight="1">
      <c r="A43" s="3"/>
      <c r="B43" s="3"/>
      <c r="C43" s="3"/>
      <c r="D43" s="3"/>
      <c r="E43" s="3"/>
      <c r="F43" s="3"/>
      <c r="G43" s="3"/>
      <c r="H43" s="3"/>
      <c r="K43" s="37"/>
      <c r="L43" s="37"/>
      <c r="M43" s="37"/>
      <c r="N43" s="37"/>
      <c r="O43" s="37"/>
      <c r="P43" s="37"/>
    </row>
    <row r="44" ht="15.75" customHeight="1">
      <c r="A44" s="3" t="s">
        <v>97</v>
      </c>
      <c r="B44" s="39">
        <f>'Transaction Summary'!B9/'Transaction Summary'!C8</f>
        <v>0.1886666667</v>
      </c>
      <c r="C44" s="3"/>
      <c r="D44" s="3"/>
      <c r="E44" s="3"/>
      <c r="F44" s="3"/>
      <c r="G44" s="3"/>
      <c r="H44" s="3"/>
      <c r="K44" s="37"/>
      <c r="L44" s="37"/>
      <c r="M44" s="37"/>
      <c r="N44" s="37"/>
      <c r="O44" s="37"/>
      <c r="P44" s="37"/>
    </row>
    <row r="45" ht="15.75" customHeight="1">
      <c r="A45" s="3" t="s">
        <v>98</v>
      </c>
      <c r="B45" s="39">
        <f>1-B44</f>
        <v>0.8113333333</v>
      </c>
      <c r="C45" s="3"/>
      <c r="D45" s="3"/>
      <c r="E45" s="3"/>
      <c r="F45" s="3"/>
      <c r="G45" s="3"/>
      <c r="H45" s="3"/>
      <c r="K45" s="37"/>
      <c r="L45" s="37"/>
      <c r="M45" s="37"/>
      <c r="N45" s="37"/>
      <c r="O45" s="37"/>
      <c r="P45" s="37"/>
    </row>
    <row r="46" ht="15.75" customHeight="1">
      <c r="A46" s="3"/>
      <c r="B46" s="3"/>
      <c r="C46" s="3"/>
      <c r="D46" s="3"/>
      <c r="E46" s="40"/>
      <c r="F46" s="40"/>
      <c r="G46" s="40"/>
      <c r="H46" s="40"/>
      <c r="I46" s="37"/>
      <c r="J46" s="37"/>
      <c r="K46" s="37"/>
      <c r="L46" s="37"/>
      <c r="M46" s="37"/>
      <c r="N46" s="37"/>
      <c r="O46" s="37"/>
      <c r="P46" s="37"/>
    </row>
    <row r="47" ht="15.75" customHeight="1">
      <c r="A47" s="3" t="s">
        <v>99</v>
      </c>
      <c r="B47" s="4">
        <f>H41*B44</f>
        <v>5958.223794</v>
      </c>
      <c r="C47" s="3"/>
      <c r="D47" s="3"/>
      <c r="E47" s="41">
        <f>-'Transaction Summary'!B10</f>
        <v>-17038</v>
      </c>
      <c r="F47" s="40">
        <v>0.0</v>
      </c>
      <c r="G47" s="40">
        <v>0.0</v>
      </c>
      <c r="H47" s="40">
        <v>0.0</v>
      </c>
      <c r="I47" s="37">
        <v>0.0</v>
      </c>
      <c r="J47" s="38">
        <f>B48</f>
        <v>25622.46769</v>
      </c>
      <c r="K47" s="37"/>
      <c r="L47" s="37"/>
      <c r="M47" s="37"/>
      <c r="N47" s="37"/>
      <c r="O47" s="37"/>
      <c r="P47" s="37"/>
    </row>
    <row r="48" ht="15.75" customHeight="1">
      <c r="A48" s="3" t="s">
        <v>100</v>
      </c>
      <c r="B48" s="4">
        <f>B45*H41</f>
        <v>25622.46769</v>
      </c>
      <c r="C48" s="3"/>
      <c r="D48" s="3"/>
      <c r="E48" s="40"/>
      <c r="F48" s="40"/>
      <c r="G48" s="40"/>
      <c r="H48" s="40"/>
      <c r="I48" s="37"/>
      <c r="J48" s="37"/>
      <c r="K48" s="37"/>
      <c r="L48" s="37"/>
      <c r="M48" s="37"/>
      <c r="N48" s="37"/>
      <c r="O48" s="37"/>
      <c r="P48" s="37"/>
    </row>
    <row r="49" ht="15.75" customHeight="1"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</row>
    <row r="50" ht="15.75" customHeight="1">
      <c r="A50" s="26" t="s">
        <v>101</v>
      </c>
      <c r="B50" s="42">
        <f>B47/'Transaction Summary'!B9</f>
        <v>1.503842452</v>
      </c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</row>
    <row r="51" ht="15.75" customHeight="1">
      <c r="A51" s="26" t="s">
        <v>102</v>
      </c>
      <c r="B51" s="42">
        <f>B48/'Transaction Summary'!B10</f>
        <v>1.503842452</v>
      </c>
      <c r="E51" s="37"/>
      <c r="F51" s="37"/>
      <c r="G51" s="37"/>
      <c r="H51" s="37"/>
      <c r="I51" s="37"/>
      <c r="J51" s="37"/>
      <c r="K51" s="37"/>
    </row>
    <row r="52" ht="15.75" customHeight="1">
      <c r="E52" s="37"/>
      <c r="F52" s="37"/>
      <c r="G52" s="37"/>
      <c r="H52" s="37"/>
      <c r="I52" s="37"/>
      <c r="J52" s="37"/>
      <c r="K52" s="37"/>
    </row>
    <row r="53" ht="15.75" customHeight="1">
      <c r="A53" s="30" t="s">
        <v>103</v>
      </c>
      <c r="B53" s="43">
        <f>IRR(K42:P42)</f>
        <v>0.08502680682</v>
      </c>
      <c r="C53" s="44" t="s">
        <v>106</v>
      </c>
      <c r="E53" s="37"/>
      <c r="F53" s="37"/>
      <c r="G53" s="37"/>
      <c r="H53" s="37"/>
      <c r="I53" s="37"/>
      <c r="J53" s="37"/>
      <c r="K53" s="37"/>
    </row>
    <row r="54" ht="15.75" customHeight="1">
      <c r="A54" s="30" t="s">
        <v>105</v>
      </c>
      <c r="B54" s="43">
        <f>IRR(E47:K47)</f>
        <v>0.08502680682</v>
      </c>
      <c r="E54" s="37"/>
      <c r="F54" s="37"/>
      <c r="G54" s="37"/>
      <c r="H54" s="37"/>
      <c r="I54" s="37"/>
      <c r="J54" s="37"/>
      <c r="K54" s="37"/>
    </row>
    <row r="55" ht="15.75" customHeight="1">
      <c r="E55" s="37"/>
      <c r="F55" s="37"/>
      <c r="G55" s="37"/>
      <c r="H55" s="37"/>
      <c r="I55" s="37"/>
      <c r="J55" s="37"/>
      <c r="K55" s="37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6.5"/>
    <col customWidth="1" min="2" max="6" width="12.63"/>
  </cols>
  <sheetData>
    <row r="1" ht="15.75" customHeight="1">
      <c r="A1" s="1" t="s">
        <v>57</v>
      </c>
      <c r="B1" s="3"/>
      <c r="C1" s="3"/>
      <c r="D1" s="3"/>
      <c r="E1" s="3"/>
      <c r="F1" s="3"/>
      <c r="G1" s="3"/>
      <c r="H1" s="3"/>
      <c r="I1" s="3"/>
    </row>
    <row r="2" ht="15.75" customHeight="1">
      <c r="A2" s="3"/>
      <c r="B2" s="3"/>
      <c r="C2" s="3"/>
      <c r="D2" s="3"/>
      <c r="E2" s="3"/>
      <c r="F2" s="3"/>
      <c r="G2" s="3"/>
      <c r="H2" s="3"/>
      <c r="I2" s="3"/>
    </row>
    <row r="3" ht="15.75" customHeight="1">
      <c r="A3" s="32" t="s">
        <v>58</v>
      </c>
      <c r="B3" s="32" t="s">
        <v>59</v>
      </c>
      <c r="C3" s="32" t="s">
        <v>60</v>
      </c>
      <c r="D3" s="32" t="s">
        <v>61</v>
      </c>
      <c r="E3" s="32" t="s">
        <v>62</v>
      </c>
      <c r="F3" s="32" t="s">
        <v>63</v>
      </c>
      <c r="G3" s="32" t="s">
        <v>64</v>
      </c>
      <c r="H3" s="32" t="s">
        <v>65</v>
      </c>
      <c r="I3" s="32" t="s">
        <v>66</v>
      </c>
    </row>
    <row r="4" ht="15.75" customHeight="1">
      <c r="A4" s="19" t="s">
        <v>67</v>
      </c>
      <c r="B4" s="33">
        <v>0.3663</v>
      </c>
      <c r="C4" s="34">
        <v>0.25</v>
      </c>
      <c r="D4" s="33">
        <v>0.1</v>
      </c>
      <c r="E4" s="33">
        <v>0.1</v>
      </c>
      <c r="F4" s="33">
        <v>0.1</v>
      </c>
      <c r="G4" s="33">
        <v>0.1</v>
      </c>
      <c r="H4" s="33">
        <v>0.1</v>
      </c>
      <c r="I4" s="34">
        <v>0.08</v>
      </c>
    </row>
    <row r="5" ht="15.75" customHeight="1">
      <c r="A5" s="19" t="s">
        <v>7</v>
      </c>
      <c r="B5" s="19"/>
      <c r="C5" s="19"/>
      <c r="D5" s="33">
        <v>0.095</v>
      </c>
      <c r="E5" s="33">
        <v>0.09</v>
      </c>
      <c r="F5" s="33">
        <v>0.085</v>
      </c>
      <c r="G5" s="33">
        <v>0.08</v>
      </c>
      <c r="H5" s="33">
        <v>0.075</v>
      </c>
      <c r="I5" s="19"/>
    </row>
    <row r="6" ht="15.75" customHeight="1">
      <c r="A6" s="19" t="s">
        <v>68</v>
      </c>
      <c r="B6" s="33">
        <v>0.1611</v>
      </c>
      <c r="C6" s="19"/>
      <c r="D6" s="33">
        <v>0.2</v>
      </c>
      <c r="E6" s="33">
        <v>0.2</v>
      </c>
      <c r="F6" s="33">
        <v>0.2</v>
      </c>
      <c r="G6" s="33">
        <v>0.2</v>
      </c>
      <c r="H6" s="33">
        <v>0.2</v>
      </c>
      <c r="I6" s="19"/>
    </row>
    <row r="7" ht="15.75" customHeight="1">
      <c r="A7" s="19" t="s">
        <v>69</v>
      </c>
      <c r="B7" s="19"/>
      <c r="C7" s="19"/>
      <c r="D7" s="33">
        <v>0.1</v>
      </c>
      <c r="E7" s="33">
        <v>0.1</v>
      </c>
      <c r="F7" s="33">
        <v>0.1</v>
      </c>
      <c r="G7" s="33">
        <v>0.1</v>
      </c>
      <c r="H7" s="33">
        <v>0.1</v>
      </c>
      <c r="I7" s="19"/>
    </row>
    <row r="8" ht="15.75" customHeight="1">
      <c r="A8" s="19" t="s">
        <v>70</v>
      </c>
      <c r="B8" s="19"/>
      <c r="C8" s="19"/>
      <c r="D8" s="33">
        <v>0.01</v>
      </c>
      <c r="E8" s="33">
        <v>0.01</v>
      </c>
      <c r="F8" s="33">
        <v>0.01</v>
      </c>
      <c r="G8" s="33">
        <v>0.01</v>
      </c>
      <c r="H8" s="33">
        <v>0.01</v>
      </c>
      <c r="I8" s="19"/>
    </row>
    <row r="9" ht="15.75" customHeight="1">
      <c r="A9" s="19" t="s">
        <v>71</v>
      </c>
      <c r="B9" s="19"/>
      <c r="C9" s="19"/>
      <c r="D9" s="19"/>
      <c r="E9" s="19"/>
      <c r="F9" s="19"/>
      <c r="G9" s="19"/>
      <c r="H9" s="19">
        <v>20.0</v>
      </c>
      <c r="I9" s="19"/>
    </row>
    <row r="10" ht="15.75" customHeight="1">
      <c r="A10" s="19" t="s">
        <v>72</v>
      </c>
      <c r="B10" s="19"/>
      <c r="C10" s="35">
        <v>25000.0</v>
      </c>
      <c r="D10" s="19"/>
      <c r="E10" s="19"/>
      <c r="F10" s="19"/>
      <c r="G10" s="19"/>
      <c r="H10" s="19"/>
      <c r="I10" s="19"/>
    </row>
    <row r="11" ht="15.75" customHeight="1">
      <c r="A11" s="19" t="s">
        <v>73</v>
      </c>
      <c r="B11" s="19"/>
      <c r="C11" s="34">
        <v>0.07</v>
      </c>
      <c r="D11" s="19"/>
      <c r="E11" s="19"/>
      <c r="F11" s="19"/>
      <c r="G11" s="19"/>
      <c r="H11" s="19"/>
      <c r="I11" s="19"/>
    </row>
    <row r="12" ht="15.75" customHeight="1">
      <c r="A12" s="19" t="s">
        <v>74</v>
      </c>
      <c r="B12" s="19"/>
      <c r="C12" s="34">
        <v>0.28</v>
      </c>
      <c r="D12" s="19"/>
      <c r="E12" s="19"/>
      <c r="F12" s="19"/>
      <c r="G12" s="19"/>
      <c r="H12" s="19"/>
      <c r="I12" s="19"/>
    </row>
    <row r="13" ht="15.75" customHeight="1">
      <c r="A13" s="19" t="s">
        <v>75</v>
      </c>
      <c r="B13" s="19"/>
      <c r="C13" s="34">
        <v>0.25</v>
      </c>
      <c r="D13" s="19"/>
      <c r="E13" s="19"/>
      <c r="F13" s="19"/>
      <c r="G13" s="19"/>
      <c r="H13" s="19"/>
      <c r="I13" s="19"/>
    </row>
    <row r="14" ht="15.75" customHeight="1">
      <c r="A14" s="19" t="s">
        <v>76</v>
      </c>
      <c r="B14" s="19"/>
      <c r="C14" s="34">
        <v>0.25</v>
      </c>
      <c r="D14" s="19"/>
      <c r="E14" s="19"/>
      <c r="F14" s="19"/>
      <c r="G14" s="19"/>
      <c r="H14" s="19"/>
      <c r="I14" s="19"/>
    </row>
    <row r="15" ht="15.75" customHeight="1"/>
    <row r="16" ht="15.75" customHeight="1"/>
    <row r="17" ht="15.75" customHeight="1">
      <c r="A17" s="1"/>
      <c r="B17" s="2">
        <v>2021.0</v>
      </c>
      <c r="C17" s="2" t="s">
        <v>60</v>
      </c>
      <c r="D17" s="2" t="s">
        <v>61</v>
      </c>
      <c r="E17" s="2" t="s">
        <v>62</v>
      </c>
      <c r="F17" s="2" t="s">
        <v>63</v>
      </c>
      <c r="G17" s="2" t="s">
        <v>64</v>
      </c>
      <c r="H17" s="2" t="s">
        <v>65</v>
      </c>
    </row>
    <row r="18" ht="15.75" customHeight="1">
      <c r="A18" s="3" t="s">
        <v>1</v>
      </c>
      <c r="B18" s="4">
        <f>'Financials '!D5</f>
        <v>5077.48</v>
      </c>
      <c r="C18" s="4">
        <f t="shared" ref="C18:H18" si="1">B18*(1+C4)</f>
        <v>6346.85</v>
      </c>
      <c r="D18" s="4">
        <f t="shared" si="1"/>
        <v>6981.535</v>
      </c>
      <c r="E18" s="4">
        <f t="shared" si="1"/>
        <v>7679.6885</v>
      </c>
      <c r="F18" s="4">
        <f t="shared" si="1"/>
        <v>8447.65735</v>
      </c>
      <c r="G18" s="4">
        <f t="shared" si="1"/>
        <v>9292.423085</v>
      </c>
      <c r="H18" s="4">
        <f t="shared" si="1"/>
        <v>10221.66539</v>
      </c>
    </row>
    <row r="19" ht="15.75" customHeight="1">
      <c r="A19" s="5" t="s">
        <v>77</v>
      </c>
      <c r="B19" s="6">
        <f>'Financials '!D6</f>
        <v>0.3662545239</v>
      </c>
      <c r="C19" s="6">
        <f t="shared" ref="C19:H19" si="2">C18/B18-1</f>
        <v>0.25</v>
      </c>
      <c r="D19" s="6">
        <f t="shared" si="2"/>
        <v>0.1</v>
      </c>
      <c r="E19" s="6">
        <f t="shared" si="2"/>
        <v>0.1</v>
      </c>
      <c r="F19" s="6">
        <f t="shared" si="2"/>
        <v>0.1</v>
      </c>
      <c r="G19" s="6">
        <f t="shared" si="2"/>
        <v>0.1</v>
      </c>
      <c r="H19" s="6">
        <f t="shared" si="2"/>
        <v>0.1</v>
      </c>
    </row>
    <row r="20" ht="15.75" customHeight="1">
      <c r="A20" s="3" t="s">
        <v>8</v>
      </c>
      <c r="B20" s="4">
        <f>'Financials '!D12</f>
        <v>817.81</v>
      </c>
      <c r="C20" s="4">
        <f>C18*C21</f>
        <v>1343.628145</v>
      </c>
      <c r="D20" s="4">
        <f t="shared" ref="D20:H20" si="3">D18*0.2</f>
        <v>1396.307</v>
      </c>
      <c r="E20" s="4">
        <f t="shared" si="3"/>
        <v>1535.9377</v>
      </c>
      <c r="F20" s="4">
        <f t="shared" si="3"/>
        <v>1689.53147</v>
      </c>
      <c r="G20" s="4">
        <f t="shared" si="3"/>
        <v>1858.484617</v>
      </c>
      <c r="H20" s="4">
        <f t="shared" si="3"/>
        <v>2044.333079</v>
      </c>
    </row>
    <row r="21" ht="15.75" customHeight="1">
      <c r="A21" s="7" t="s">
        <v>68</v>
      </c>
      <c r="B21" s="6">
        <f>B20/B18</f>
        <v>0.1610661194</v>
      </c>
      <c r="C21" s="6">
        <v>0.2117</v>
      </c>
      <c r="D21" s="6">
        <f t="shared" ref="D21:H21" si="4">D20/D18</f>
        <v>0.2</v>
      </c>
      <c r="E21" s="6">
        <f t="shared" si="4"/>
        <v>0.2</v>
      </c>
      <c r="F21" s="6">
        <f t="shared" si="4"/>
        <v>0.2</v>
      </c>
      <c r="G21" s="6">
        <f t="shared" si="4"/>
        <v>0.2</v>
      </c>
      <c r="H21" s="6">
        <f t="shared" si="4"/>
        <v>0.2</v>
      </c>
    </row>
    <row r="22" ht="15.75" customHeight="1">
      <c r="A22" s="3" t="s">
        <v>7</v>
      </c>
      <c r="B22" s="4">
        <f>'Financials '!D11</f>
        <v>544.85</v>
      </c>
      <c r="C22" s="4">
        <f>C20-C23</f>
        <v>431.5858</v>
      </c>
      <c r="D22" s="4">
        <f t="shared" ref="D22:H22" si="5">D5*D18</f>
        <v>663.245825</v>
      </c>
      <c r="E22" s="4">
        <f t="shared" si="5"/>
        <v>691.171965</v>
      </c>
      <c r="F22" s="4">
        <f t="shared" si="5"/>
        <v>718.0508748</v>
      </c>
      <c r="G22" s="4">
        <f t="shared" si="5"/>
        <v>743.3938468</v>
      </c>
      <c r="H22" s="4">
        <f t="shared" si="5"/>
        <v>766.6249045</v>
      </c>
    </row>
    <row r="23" ht="15.75" customHeight="1">
      <c r="A23" s="3" t="s">
        <v>78</v>
      </c>
      <c r="B23" s="4">
        <f>B20-B22</f>
        <v>272.96</v>
      </c>
      <c r="C23" s="4">
        <f>C18*14.37%</f>
        <v>912.042345</v>
      </c>
      <c r="D23" s="4">
        <f t="shared" ref="D23:H23" si="6">D20-D22</f>
        <v>733.061175</v>
      </c>
      <c r="E23" s="4">
        <f t="shared" si="6"/>
        <v>844.765735</v>
      </c>
      <c r="F23" s="4">
        <f t="shared" si="6"/>
        <v>971.4805953</v>
      </c>
      <c r="G23" s="4">
        <f t="shared" si="6"/>
        <v>1115.09077</v>
      </c>
      <c r="H23" s="4">
        <f t="shared" si="6"/>
        <v>1277.708174</v>
      </c>
    </row>
    <row r="24" ht="15.75" customHeight="1">
      <c r="A24" s="5" t="s">
        <v>79</v>
      </c>
      <c r="B24" s="6">
        <f t="shared" ref="B24:H24" si="7">B23/B18</f>
        <v>0.05375895129</v>
      </c>
      <c r="C24" s="6">
        <f t="shared" si="7"/>
        <v>0.1437</v>
      </c>
      <c r="D24" s="6">
        <f t="shared" si="7"/>
        <v>0.105</v>
      </c>
      <c r="E24" s="6">
        <f t="shared" si="7"/>
        <v>0.11</v>
      </c>
      <c r="F24" s="6">
        <f t="shared" si="7"/>
        <v>0.115</v>
      </c>
      <c r="G24" s="6">
        <f t="shared" si="7"/>
        <v>0.12</v>
      </c>
      <c r="H24" s="6">
        <f t="shared" si="7"/>
        <v>0.125</v>
      </c>
    </row>
    <row r="25" ht="15.75" customHeight="1">
      <c r="A25" s="3" t="s">
        <v>10</v>
      </c>
      <c r="B25" s="4">
        <f>'Financials '!D17</f>
        <v>81.63</v>
      </c>
      <c r="C25" s="4">
        <f>C11*C10</f>
        <v>1750</v>
      </c>
      <c r="D25" s="4">
        <f t="shared" ref="D25:H25" si="8">C25</f>
        <v>1750</v>
      </c>
      <c r="E25" s="4">
        <f t="shared" si="8"/>
        <v>1750</v>
      </c>
      <c r="F25" s="4">
        <f t="shared" si="8"/>
        <v>1750</v>
      </c>
      <c r="G25" s="4">
        <f t="shared" si="8"/>
        <v>1750</v>
      </c>
      <c r="H25" s="4">
        <f t="shared" si="8"/>
        <v>1750</v>
      </c>
    </row>
    <row r="26" ht="15.75" customHeight="1">
      <c r="A26" s="3" t="s">
        <v>80</v>
      </c>
      <c r="B26" s="4">
        <f>'Financials '!D18</f>
        <v>-411.11</v>
      </c>
      <c r="C26" s="4">
        <f t="shared" ref="C26:H26" si="9">C23-C25</f>
        <v>-837.957655</v>
      </c>
      <c r="D26" s="4">
        <f t="shared" si="9"/>
        <v>-1016.938825</v>
      </c>
      <c r="E26" s="4">
        <f t="shared" si="9"/>
        <v>-905.234265</v>
      </c>
      <c r="F26" s="4">
        <f t="shared" si="9"/>
        <v>-778.5194048</v>
      </c>
      <c r="G26" s="4">
        <f t="shared" si="9"/>
        <v>-634.9092298</v>
      </c>
      <c r="H26" s="4">
        <f t="shared" si="9"/>
        <v>-472.2918258</v>
      </c>
    </row>
    <row r="27" ht="15.75" customHeight="1">
      <c r="A27" s="3" t="s">
        <v>81</v>
      </c>
      <c r="B27" s="4">
        <f>'Financials '!D19</f>
        <v>189.7</v>
      </c>
      <c r="C27" s="4">
        <v>0.0</v>
      </c>
      <c r="D27" s="4">
        <v>0.0</v>
      </c>
      <c r="E27" s="4">
        <v>0.0</v>
      </c>
      <c r="F27" s="4">
        <v>0.0</v>
      </c>
      <c r="G27" s="45">
        <v>0.0</v>
      </c>
      <c r="H27" s="45">
        <v>0.0</v>
      </c>
    </row>
    <row r="28" ht="15.75" customHeight="1">
      <c r="A28" s="9" t="s">
        <v>82</v>
      </c>
      <c r="B28" s="36">
        <f t="shared" ref="B28:H28" si="10">B26+B27</f>
        <v>-221.41</v>
      </c>
      <c r="C28" s="36">
        <f t="shared" si="10"/>
        <v>-837.957655</v>
      </c>
      <c r="D28" s="36">
        <f t="shared" si="10"/>
        <v>-1016.938825</v>
      </c>
      <c r="E28" s="36">
        <f t="shared" si="10"/>
        <v>-905.234265</v>
      </c>
      <c r="F28" s="36">
        <f t="shared" si="10"/>
        <v>-778.5194048</v>
      </c>
      <c r="G28" s="36">
        <f t="shared" si="10"/>
        <v>-634.9092298</v>
      </c>
      <c r="H28" s="36">
        <f t="shared" si="10"/>
        <v>-472.2918258</v>
      </c>
    </row>
    <row r="29" ht="15.75" customHeight="1">
      <c r="A29" s="5" t="s">
        <v>83</v>
      </c>
      <c r="B29" s="6">
        <f t="shared" ref="B29:H29" si="11">B28/B18</f>
        <v>-0.04360627713</v>
      </c>
      <c r="C29" s="6">
        <f t="shared" si="11"/>
        <v>-0.1320273293</v>
      </c>
      <c r="D29" s="6">
        <f t="shared" si="11"/>
        <v>-0.1456612085</v>
      </c>
      <c r="E29" s="6">
        <f t="shared" si="11"/>
        <v>-0.1178738259</v>
      </c>
      <c r="F29" s="6">
        <f t="shared" si="11"/>
        <v>-0.09215802352</v>
      </c>
      <c r="G29" s="6">
        <f t="shared" si="11"/>
        <v>-0.06832547593</v>
      </c>
      <c r="H29" s="6">
        <f t="shared" si="11"/>
        <v>-0.04620497812</v>
      </c>
    </row>
    <row r="30" ht="15.75" customHeight="1">
      <c r="A30" s="3" t="s">
        <v>84</v>
      </c>
      <c r="B30" s="4"/>
      <c r="C30" s="4">
        <f t="shared" ref="C30:H30" si="12">C18*10%</f>
        <v>634.685</v>
      </c>
      <c r="D30" s="4">
        <f t="shared" si="12"/>
        <v>698.1535</v>
      </c>
      <c r="E30" s="4">
        <f t="shared" si="12"/>
        <v>767.96885</v>
      </c>
      <c r="F30" s="4">
        <f t="shared" si="12"/>
        <v>844.765735</v>
      </c>
      <c r="G30" s="4">
        <f t="shared" si="12"/>
        <v>929.2423085</v>
      </c>
      <c r="H30" s="4">
        <f t="shared" si="12"/>
        <v>1022.166539</v>
      </c>
    </row>
    <row r="31" ht="15.75" customHeight="1">
      <c r="A31" s="3" t="str">
        <f>A22</f>
        <v>Depreciation &amp; Amortization</v>
      </c>
      <c r="B31" s="4"/>
      <c r="C31" s="4">
        <f t="shared" ref="C31:H31" si="13">C22</f>
        <v>431.5858</v>
      </c>
      <c r="D31" s="4">
        <f t="shared" si="13"/>
        <v>663.245825</v>
      </c>
      <c r="E31" s="4">
        <f t="shared" si="13"/>
        <v>691.171965</v>
      </c>
      <c r="F31" s="4">
        <f t="shared" si="13"/>
        <v>718.0508748</v>
      </c>
      <c r="G31" s="4">
        <f t="shared" si="13"/>
        <v>743.3938468</v>
      </c>
      <c r="H31" s="4">
        <f t="shared" si="13"/>
        <v>766.6249045</v>
      </c>
    </row>
    <row r="32" ht="15.75" customHeight="1">
      <c r="A32" s="3" t="s">
        <v>85</v>
      </c>
      <c r="B32" s="4"/>
      <c r="C32" s="4">
        <f t="shared" ref="C32:H32" si="14">0.01*(C18-B18)</f>
        <v>12.6937</v>
      </c>
      <c r="D32" s="4">
        <f t="shared" si="14"/>
        <v>6.34685</v>
      </c>
      <c r="E32" s="4">
        <f t="shared" si="14"/>
        <v>6.981535</v>
      </c>
      <c r="F32" s="4">
        <f t="shared" si="14"/>
        <v>7.6796885</v>
      </c>
      <c r="G32" s="4">
        <f t="shared" si="14"/>
        <v>8.44765735</v>
      </c>
      <c r="H32" s="4">
        <f t="shared" si="14"/>
        <v>9.292423085</v>
      </c>
    </row>
    <row r="33" ht="15.75" customHeight="1">
      <c r="A33" s="3" t="s">
        <v>86</v>
      </c>
      <c r="B33" s="4"/>
      <c r="C33" s="4">
        <f t="shared" ref="C33:H33" si="15">C28-C30+C31-C32</f>
        <v>-1053.750555</v>
      </c>
      <c r="D33" s="4">
        <f t="shared" si="15"/>
        <v>-1058.19335</v>
      </c>
      <c r="E33" s="4">
        <f t="shared" si="15"/>
        <v>-989.012685</v>
      </c>
      <c r="F33" s="4">
        <f t="shared" si="15"/>
        <v>-912.9139535</v>
      </c>
      <c r="G33" s="4">
        <f t="shared" si="15"/>
        <v>-829.2053489</v>
      </c>
      <c r="H33" s="4">
        <f t="shared" si="15"/>
        <v>-737.1258837</v>
      </c>
    </row>
    <row r="34" ht="15.75" customHeight="1">
      <c r="A34" s="3" t="s">
        <v>87</v>
      </c>
      <c r="B34" s="4"/>
      <c r="C34" s="4" t="s">
        <v>88</v>
      </c>
      <c r="D34" s="4" t="s">
        <v>88</v>
      </c>
      <c r="E34" s="4" t="s">
        <v>88</v>
      </c>
      <c r="F34" s="4" t="s">
        <v>88</v>
      </c>
      <c r="G34" s="4" t="s">
        <v>88</v>
      </c>
      <c r="H34" s="4" t="s">
        <v>88</v>
      </c>
    </row>
    <row r="35" ht="15.75" customHeight="1">
      <c r="A35" s="3" t="s">
        <v>89</v>
      </c>
      <c r="B35" s="4"/>
      <c r="C35" s="4">
        <f t="shared" ref="C35:H35" si="16">C33</f>
        <v>-1053.750555</v>
      </c>
      <c r="D35" s="4">
        <f t="shared" si="16"/>
        <v>-1058.19335</v>
      </c>
      <c r="E35" s="4">
        <f t="shared" si="16"/>
        <v>-989.012685</v>
      </c>
      <c r="F35" s="4">
        <f t="shared" si="16"/>
        <v>-912.9139535</v>
      </c>
      <c r="G35" s="4">
        <f t="shared" si="16"/>
        <v>-829.2053489</v>
      </c>
      <c r="H35" s="4">
        <f t="shared" si="16"/>
        <v>-737.1258837</v>
      </c>
    </row>
    <row r="36" ht="15.75" customHeight="1">
      <c r="A36" s="3" t="s">
        <v>90</v>
      </c>
      <c r="B36" s="3"/>
      <c r="C36" s="3"/>
      <c r="D36" s="3"/>
      <c r="E36" s="3"/>
      <c r="F36" s="3"/>
      <c r="G36" s="3"/>
      <c r="H36" s="4">
        <f>H20*20</f>
        <v>40886.66157</v>
      </c>
    </row>
    <row r="37" ht="15.75" customHeight="1">
      <c r="A37" s="3" t="s">
        <v>91</v>
      </c>
      <c r="B37" s="3"/>
      <c r="C37" s="3"/>
      <c r="D37" s="3"/>
      <c r="E37" s="3"/>
      <c r="F37" s="3"/>
      <c r="G37" s="3"/>
      <c r="H37" s="4">
        <f>H36-24148.78</f>
        <v>16737.88157</v>
      </c>
    </row>
    <row r="38" ht="15.75" customHeight="1">
      <c r="A38" s="3" t="s">
        <v>92</v>
      </c>
      <c r="B38" s="3"/>
      <c r="C38" s="3"/>
      <c r="D38" s="3"/>
      <c r="E38" s="3"/>
      <c r="F38" s="3"/>
      <c r="G38" s="3"/>
      <c r="H38" s="4">
        <f>H37+H35</f>
        <v>16000.75569</v>
      </c>
    </row>
    <row r="39" ht="15.75" customHeight="1">
      <c r="A39" s="3" t="s">
        <v>93</v>
      </c>
      <c r="B39" s="3"/>
      <c r="C39" s="3"/>
      <c r="D39" s="3"/>
      <c r="E39" s="3"/>
      <c r="F39" s="3"/>
      <c r="G39" s="3"/>
      <c r="H39" s="4">
        <f>H38/(1.25)^6</f>
        <v>4194.5021</v>
      </c>
    </row>
    <row r="40" ht="15.75" customHeight="1">
      <c r="A40" s="3" t="s">
        <v>94</v>
      </c>
      <c r="B40" s="3"/>
      <c r="C40" s="3"/>
      <c r="D40" s="3"/>
      <c r="E40" s="3"/>
      <c r="F40" s="3"/>
      <c r="G40" s="3"/>
      <c r="H40" s="8">
        <f>'Financials '!D25-'Transaction Summary'!F10</f>
        <v>-1838.45</v>
      </c>
      <c r="K40" s="37"/>
      <c r="L40" s="37"/>
      <c r="M40" s="37"/>
      <c r="N40" s="37"/>
      <c r="O40" s="37"/>
      <c r="P40" s="37"/>
    </row>
    <row r="41" ht="15.75" customHeight="1">
      <c r="A41" s="3" t="s">
        <v>95</v>
      </c>
      <c r="B41" s="3"/>
      <c r="C41" s="3"/>
      <c r="D41" s="3"/>
      <c r="E41" s="3"/>
      <c r="F41" s="3"/>
      <c r="G41" s="3"/>
      <c r="H41" s="4">
        <f>H38+H40</f>
        <v>14162.30569</v>
      </c>
      <c r="K41" s="37"/>
      <c r="L41" s="37"/>
      <c r="M41" s="37"/>
      <c r="N41" s="37"/>
      <c r="O41" s="37"/>
      <c r="P41" s="37"/>
    </row>
    <row r="42" ht="15.75" customHeight="1">
      <c r="A42" s="3" t="s">
        <v>96</v>
      </c>
      <c r="B42" s="3"/>
      <c r="C42" s="3"/>
      <c r="D42" s="3"/>
      <c r="E42" s="3"/>
      <c r="F42" s="3"/>
      <c r="G42" s="3"/>
      <c r="H42" s="4">
        <f>H41/'Transaction Summary'!B17</f>
        <v>17.6896149</v>
      </c>
      <c r="K42" s="38">
        <f>-'Transaction Summary'!B9</f>
        <v>-3962</v>
      </c>
      <c r="L42" s="37">
        <v>0.0</v>
      </c>
      <c r="M42" s="37">
        <v>0.0</v>
      </c>
      <c r="N42" s="37">
        <v>0.0</v>
      </c>
      <c r="O42" s="37">
        <v>0.0</v>
      </c>
      <c r="P42" s="38">
        <f>B47</f>
        <v>2671.955007</v>
      </c>
    </row>
    <row r="43" ht="15.75" customHeight="1">
      <c r="A43" s="3"/>
      <c r="B43" s="3"/>
      <c r="C43" s="3"/>
      <c r="D43" s="3"/>
      <c r="E43" s="3"/>
      <c r="F43" s="3"/>
      <c r="G43" s="3"/>
      <c r="H43" s="3"/>
      <c r="K43" s="37"/>
      <c r="L43" s="37"/>
      <c r="M43" s="37"/>
      <c r="N43" s="37"/>
      <c r="O43" s="37"/>
      <c r="P43" s="37"/>
    </row>
    <row r="44" ht="15.75" customHeight="1">
      <c r="A44" s="3" t="s">
        <v>97</v>
      </c>
      <c r="B44" s="39">
        <f>'Transaction Summary'!B9/'Transaction Summary'!C8</f>
        <v>0.1886666667</v>
      </c>
      <c r="C44" s="3"/>
      <c r="D44" s="3"/>
      <c r="E44" s="3"/>
      <c r="F44" s="3"/>
      <c r="G44" s="3"/>
      <c r="H44" s="3"/>
      <c r="K44" s="37"/>
      <c r="L44" s="37"/>
      <c r="M44" s="37"/>
      <c r="N44" s="37"/>
      <c r="O44" s="37"/>
      <c r="P44" s="37"/>
    </row>
    <row r="45" ht="15.75" customHeight="1">
      <c r="A45" s="3" t="s">
        <v>98</v>
      </c>
      <c r="B45" s="39">
        <f>1-B44</f>
        <v>0.8113333333</v>
      </c>
      <c r="C45" s="3"/>
      <c r="D45" s="3"/>
      <c r="E45" s="3"/>
      <c r="F45" s="3"/>
      <c r="G45" s="3"/>
      <c r="H45" s="3"/>
      <c r="K45" s="37"/>
      <c r="L45" s="37"/>
      <c r="M45" s="37"/>
      <c r="N45" s="37"/>
      <c r="O45" s="37"/>
      <c r="P45" s="37"/>
    </row>
    <row r="46" ht="15.75" customHeight="1">
      <c r="A46" s="3"/>
      <c r="B46" s="3"/>
      <c r="C46" s="3"/>
      <c r="D46" s="3"/>
      <c r="E46" s="40"/>
      <c r="F46" s="40"/>
      <c r="G46" s="40"/>
      <c r="H46" s="40"/>
      <c r="I46" s="37"/>
      <c r="J46" s="37"/>
      <c r="K46" s="37"/>
      <c r="L46" s="37"/>
      <c r="M46" s="37"/>
      <c r="N46" s="37"/>
      <c r="O46" s="37"/>
      <c r="P46" s="37"/>
    </row>
    <row r="47" ht="15.75" customHeight="1">
      <c r="A47" s="3" t="s">
        <v>99</v>
      </c>
      <c r="B47" s="4">
        <f>H41*B44</f>
        <v>2671.955007</v>
      </c>
      <c r="C47" s="3"/>
      <c r="D47" s="3"/>
      <c r="E47" s="41">
        <f>-'Transaction Summary'!B10</f>
        <v>-17038</v>
      </c>
      <c r="F47" s="40">
        <v>0.0</v>
      </c>
      <c r="G47" s="40">
        <v>0.0</v>
      </c>
      <c r="H47" s="40">
        <v>0.0</v>
      </c>
      <c r="I47" s="37">
        <v>0.0</v>
      </c>
      <c r="J47" s="38">
        <f>B48</f>
        <v>11490.35068</v>
      </c>
      <c r="K47" s="37"/>
      <c r="L47" s="37"/>
      <c r="M47" s="37"/>
      <c r="N47" s="37"/>
      <c r="O47" s="37"/>
      <c r="P47" s="37"/>
    </row>
    <row r="48" ht="15.75" customHeight="1">
      <c r="A48" s="3" t="s">
        <v>100</v>
      </c>
      <c r="B48" s="4">
        <f>B45*H41</f>
        <v>11490.35068</v>
      </c>
      <c r="C48" s="3"/>
      <c r="D48" s="3"/>
      <c r="E48" s="40"/>
      <c r="F48" s="40"/>
      <c r="G48" s="40"/>
      <c r="H48" s="40"/>
      <c r="I48" s="37"/>
      <c r="J48" s="37"/>
      <c r="K48" s="37"/>
      <c r="L48" s="37"/>
      <c r="M48" s="37"/>
      <c r="N48" s="37"/>
      <c r="O48" s="37"/>
      <c r="P48" s="37"/>
    </row>
    <row r="49" ht="15.75" customHeight="1"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</row>
    <row r="50" ht="15.75" customHeight="1">
      <c r="A50" s="26" t="s">
        <v>101</v>
      </c>
      <c r="B50" s="42">
        <f>B47/'Transaction Summary'!B9</f>
        <v>0.6743955091</v>
      </c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</row>
    <row r="51" ht="15.75" customHeight="1">
      <c r="A51" s="26" t="s">
        <v>102</v>
      </c>
      <c r="B51" s="42">
        <f>B48/'Transaction Summary'!B10</f>
        <v>0.6743955091</v>
      </c>
      <c r="E51" s="37"/>
      <c r="F51" s="37"/>
      <c r="G51" s="37"/>
      <c r="H51" s="37"/>
      <c r="I51" s="37"/>
      <c r="J51" s="37"/>
      <c r="K51" s="37"/>
    </row>
    <row r="52" ht="15.75" customHeight="1">
      <c r="E52" s="37"/>
      <c r="F52" s="37"/>
      <c r="G52" s="37"/>
      <c r="H52" s="37"/>
      <c r="I52" s="37"/>
      <c r="J52" s="37"/>
      <c r="K52" s="37"/>
    </row>
    <row r="53" ht="15.75" customHeight="1">
      <c r="A53" s="30" t="s">
        <v>103</v>
      </c>
      <c r="B53" s="43">
        <f>IRR(K42:P42)</f>
        <v>-0.07576388687</v>
      </c>
      <c r="C53" s="44" t="s">
        <v>106</v>
      </c>
      <c r="E53" s="37"/>
      <c r="F53" s="37"/>
      <c r="G53" s="37"/>
      <c r="H53" s="37"/>
      <c r="I53" s="37"/>
      <c r="J53" s="37"/>
      <c r="K53" s="37"/>
    </row>
    <row r="54" ht="15.75" customHeight="1">
      <c r="A54" s="30" t="s">
        <v>105</v>
      </c>
      <c r="B54" s="43">
        <f>IRR(E47:K47)</f>
        <v>-0.07576388687</v>
      </c>
      <c r="E54" s="37"/>
      <c r="F54" s="37"/>
      <c r="G54" s="37"/>
      <c r="H54" s="37"/>
      <c r="I54" s="37"/>
      <c r="J54" s="37"/>
      <c r="K54" s="37"/>
    </row>
    <row r="55" ht="15.75" customHeight="1">
      <c r="E55" s="37"/>
      <c r="F55" s="37"/>
      <c r="G55" s="37"/>
      <c r="H55" s="37"/>
      <c r="I55" s="37"/>
      <c r="J55" s="37"/>
      <c r="K55" s="37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5.0"/>
    <col customWidth="1" min="2" max="6" width="12.63"/>
  </cols>
  <sheetData>
    <row r="1" ht="15.75" customHeight="1">
      <c r="A1" s="46" t="s">
        <v>107</v>
      </c>
      <c r="B1" s="47"/>
      <c r="C1" s="16"/>
      <c r="D1" s="16"/>
      <c r="E1" s="16"/>
      <c r="F1" s="16"/>
      <c r="G1" s="16"/>
      <c r="H1" s="16"/>
    </row>
    <row r="2" ht="15.75" customHeight="1">
      <c r="A2" s="46" t="s">
        <v>108</v>
      </c>
      <c r="B2" s="47"/>
      <c r="C2" s="16"/>
      <c r="D2" s="16"/>
      <c r="E2" s="16"/>
      <c r="F2" s="16"/>
      <c r="G2" s="16"/>
      <c r="H2" s="16"/>
    </row>
    <row r="3" ht="15.75" customHeight="1">
      <c r="A3" s="48"/>
      <c r="B3" s="3"/>
      <c r="C3" s="49">
        <v>2022.0</v>
      </c>
      <c r="D3" s="49">
        <v>2023.0</v>
      </c>
      <c r="E3" s="49">
        <v>2024.0</v>
      </c>
      <c r="F3" s="49">
        <v>2025.0</v>
      </c>
      <c r="G3" s="49">
        <v>2026.0</v>
      </c>
      <c r="H3" s="49">
        <v>2027.0</v>
      </c>
    </row>
    <row r="4" ht="15.75" customHeight="1">
      <c r="A4" s="30" t="s">
        <v>109</v>
      </c>
      <c r="B4" s="50">
        <v>0.08</v>
      </c>
      <c r="C4" s="29">
        <v>9500.0</v>
      </c>
      <c r="D4" s="29">
        <f t="shared" ref="D4:H4" si="1">C6</f>
        <v>9500</v>
      </c>
      <c r="E4" s="29">
        <f t="shared" si="1"/>
        <v>9500</v>
      </c>
      <c r="F4" s="29">
        <f t="shared" si="1"/>
        <v>9500</v>
      </c>
      <c r="G4" s="29">
        <f t="shared" si="1"/>
        <v>9500</v>
      </c>
      <c r="H4" s="29">
        <f t="shared" si="1"/>
        <v>9500</v>
      </c>
      <c r="I4" s="51"/>
      <c r="J4" s="38">
        <f>H6+H11+H16</f>
        <v>24961.921</v>
      </c>
      <c r="K4" s="51"/>
      <c r="L4" s="51"/>
      <c r="M4" s="51"/>
    </row>
    <row r="5" ht="15.75" customHeight="1">
      <c r="A5" s="26" t="s">
        <v>110</v>
      </c>
      <c r="B5" s="26"/>
      <c r="C5" s="29">
        <f>MAX(0,MIN('Projected Financials (Best Case'!C35,C4))</f>
        <v>0</v>
      </c>
      <c r="D5" s="29">
        <f>MAX(0,MIN('Projected Financials (Best Case'!D35,D4))</f>
        <v>0</v>
      </c>
      <c r="E5" s="29">
        <f>MAX(0,MIN('Projected Financials (Best Case'!E35,E4))</f>
        <v>0</v>
      </c>
      <c r="F5" s="29">
        <f>MAX(0,MIN('Projected Financials (Best Case'!F35,F4))</f>
        <v>0</v>
      </c>
      <c r="G5" s="29">
        <f>MAX(0,MIN('Projected Financials (Best Case'!G35,G4))</f>
        <v>0</v>
      </c>
      <c r="H5" s="29">
        <f>MAX(0,MIN('Projected Financials (Best Case'!H35,H4))</f>
        <v>12.69299844</v>
      </c>
      <c r="I5" s="51"/>
      <c r="J5" s="51"/>
      <c r="K5" s="51"/>
      <c r="L5" s="51"/>
      <c r="M5" s="51"/>
    </row>
    <row r="6" ht="15.75" customHeight="1">
      <c r="A6" s="26" t="s">
        <v>111</v>
      </c>
      <c r="B6" s="26"/>
      <c r="C6" s="29">
        <f t="shared" ref="C6:H6" si="2">C4-C5</f>
        <v>9500</v>
      </c>
      <c r="D6" s="29">
        <f t="shared" si="2"/>
        <v>9500</v>
      </c>
      <c r="E6" s="29">
        <f t="shared" si="2"/>
        <v>9500</v>
      </c>
      <c r="F6" s="29">
        <f t="shared" si="2"/>
        <v>9500</v>
      </c>
      <c r="G6" s="29">
        <f t="shared" si="2"/>
        <v>9500</v>
      </c>
      <c r="H6" s="29">
        <f t="shared" si="2"/>
        <v>9487.307002</v>
      </c>
      <c r="I6" s="51"/>
      <c r="J6" s="51"/>
      <c r="K6" s="51"/>
      <c r="L6" s="51"/>
      <c r="M6" s="51"/>
    </row>
    <row r="7" ht="15.75" customHeight="1">
      <c r="A7" s="26" t="s">
        <v>112</v>
      </c>
      <c r="C7" s="29">
        <f t="shared" ref="C7:H7" si="3">C4*$B$4</f>
        <v>760</v>
      </c>
      <c r="D7" s="29">
        <f t="shared" si="3"/>
        <v>760</v>
      </c>
      <c r="E7" s="29">
        <f t="shared" si="3"/>
        <v>760</v>
      </c>
      <c r="F7" s="29">
        <f t="shared" si="3"/>
        <v>760</v>
      </c>
      <c r="G7" s="29">
        <f t="shared" si="3"/>
        <v>760</v>
      </c>
      <c r="H7" s="29">
        <f t="shared" si="3"/>
        <v>760</v>
      </c>
      <c r="I7" s="51"/>
      <c r="J7" s="51"/>
      <c r="K7" s="51"/>
      <c r="L7" s="51"/>
      <c r="M7" s="51"/>
    </row>
    <row r="8" ht="15.75" customHeight="1">
      <c r="I8" s="51"/>
      <c r="J8" s="51"/>
      <c r="K8" s="51"/>
      <c r="L8" s="51"/>
      <c r="M8" s="51"/>
    </row>
    <row r="9" ht="15.75" customHeight="1">
      <c r="A9" s="30" t="s">
        <v>113</v>
      </c>
      <c r="B9" s="50">
        <v>0.1</v>
      </c>
      <c r="C9" s="29">
        <f>3000</f>
        <v>3000</v>
      </c>
      <c r="D9" s="29">
        <f t="shared" ref="D9:H9" si="4">C11</f>
        <v>3000</v>
      </c>
      <c r="E9" s="29">
        <f t="shared" si="4"/>
        <v>3000</v>
      </c>
      <c r="F9" s="29">
        <f t="shared" si="4"/>
        <v>3000</v>
      </c>
      <c r="G9" s="29">
        <f t="shared" si="4"/>
        <v>3000</v>
      </c>
      <c r="H9" s="29">
        <f t="shared" si="4"/>
        <v>3000</v>
      </c>
      <c r="I9" s="51"/>
      <c r="J9" s="51"/>
      <c r="K9" s="51"/>
      <c r="L9" s="51"/>
      <c r="M9" s="51"/>
    </row>
    <row r="10" ht="15.75" customHeight="1">
      <c r="A10" s="26" t="s">
        <v>110</v>
      </c>
      <c r="B10" s="26"/>
      <c r="C10" s="29">
        <f>MAX(0,MIN('Projected Financials (Best Case'!C35,C9))</f>
        <v>0</v>
      </c>
      <c r="D10" s="29">
        <f>MAX(0,MIN('Projected Financials (Best Case'!D35,D9))</f>
        <v>0</v>
      </c>
      <c r="E10" s="29">
        <f>MAX(0,MIN('Projected Financials (Best Case'!E35,E9))</f>
        <v>0</v>
      </c>
      <c r="F10" s="29">
        <f>MAX(0,MIN('Projected Financials (Best Case'!F35,F9))</f>
        <v>0</v>
      </c>
      <c r="G10" s="29">
        <f>MAX(0,MIN('Projected Financials (Best Case'!G35,G9))</f>
        <v>0</v>
      </c>
      <c r="H10" s="29">
        <f>MAX(0,MIN('Projected Financials (Best Case'!H35,H9))</f>
        <v>12.69299844</v>
      </c>
      <c r="I10" s="51"/>
      <c r="J10" s="51"/>
      <c r="K10" s="51"/>
      <c r="L10" s="51"/>
      <c r="M10" s="51"/>
    </row>
    <row r="11" ht="15.75" customHeight="1">
      <c r="A11" s="26" t="s">
        <v>111</v>
      </c>
      <c r="B11" s="26"/>
      <c r="C11" s="29">
        <f t="shared" ref="C11:H11" si="5">C9-C10</f>
        <v>3000</v>
      </c>
      <c r="D11" s="29">
        <f t="shared" si="5"/>
        <v>3000</v>
      </c>
      <c r="E11" s="29">
        <f t="shared" si="5"/>
        <v>3000</v>
      </c>
      <c r="F11" s="29">
        <f t="shared" si="5"/>
        <v>3000</v>
      </c>
      <c r="G11" s="29">
        <f t="shared" si="5"/>
        <v>3000</v>
      </c>
      <c r="H11" s="29">
        <f t="shared" si="5"/>
        <v>2987.307002</v>
      </c>
      <c r="I11" s="51"/>
      <c r="J11" s="51"/>
      <c r="K11" s="51"/>
      <c r="L11" s="51"/>
      <c r="M11" s="51"/>
    </row>
    <row r="12" ht="15.75" customHeight="1">
      <c r="A12" s="26" t="s">
        <v>112</v>
      </c>
      <c r="B12" s="26"/>
      <c r="C12" s="29">
        <f t="shared" ref="C12:H12" si="6">C9*$B$9</f>
        <v>300</v>
      </c>
      <c r="D12" s="29">
        <f t="shared" si="6"/>
        <v>300</v>
      </c>
      <c r="E12" s="29">
        <f t="shared" si="6"/>
        <v>300</v>
      </c>
      <c r="F12" s="29">
        <f t="shared" si="6"/>
        <v>300</v>
      </c>
      <c r="G12" s="29">
        <f t="shared" si="6"/>
        <v>300</v>
      </c>
      <c r="H12" s="29">
        <f t="shared" si="6"/>
        <v>300</v>
      </c>
      <c r="I12" s="51"/>
      <c r="J12" s="51"/>
      <c r="K12" s="51"/>
      <c r="L12" s="51"/>
      <c r="M12" s="51"/>
    </row>
    <row r="13" ht="15.75" customHeight="1"/>
    <row r="14" ht="15.75" customHeight="1">
      <c r="A14" s="30" t="s">
        <v>114</v>
      </c>
      <c r="B14" s="52" t="s">
        <v>115</v>
      </c>
      <c r="C14" s="29">
        <f>12500</f>
        <v>12500</v>
      </c>
      <c r="D14" s="29">
        <f t="shared" ref="D14:H14" si="7">C16</f>
        <v>12500</v>
      </c>
      <c r="E14" s="29">
        <f t="shared" si="7"/>
        <v>12500</v>
      </c>
      <c r="F14" s="29">
        <f t="shared" si="7"/>
        <v>12500</v>
      </c>
      <c r="G14" s="29">
        <f t="shared" si="7"/>
        <v>12500</v>
      </c>
      <c r="H14" s="29">
        <f t="shared" si="7"/>
        <v>12500</v>
      </c>
    </row>
    <row r="15" ht="15.75" customHeight="1">
      <c r="A15" s="26" t="s">
        <v>110</v>
      </c>
      <c r="C15" s="29">
        <f>MAX(0,MIN('Projected Financials (Best Case'!C35,B14))</f>
        <v>0</v>
      </c>
      <c r="D15" s="29">
        <f>MAX(0,MIN('Projected Financials (Best Case'!D35,C14))</f>
        <v>0</v>
      </c>
      <c r="E15" s="29">
        <f>MAX(0,MIN('Projected Financials (Best Case'!E35,D14))</f>
        <v>0</v>
      </c>
      <c r="F15" s="29">
        <f>MAX(0,MIN('Projected Financials (Best Case'!F35,E14))</f>
        <v>0</v>
      </c>
      <c r="G15" s="29">
        <f>MAX(0,MIN('Projected Financials (Best Case'!G35,F14))</f>
        <v>0</v>
      </c>
      <c r="H15" s="29">
        <f>MAX(0,MIN('Projected Financials (Best Case'!H35,G14))</f>
        <v>12.69299844</v>
      </c>
    </row>
    <row r="16" ht="15.75" customHeight="1">
      <c r="A16" s="26" t="s">
        <v>111</v>
      </c>
      <c r="C16" s="29">
        <f t="shared" ref="C16:H16" si="8">C14-C15</f>
        <v>12500</v>
      </c>
      <c r="D16" s="29">
        <f t="shared" si="8"/>
        <v>12500</v>
      </c>
      <c r="E16" s="29">
        <f t="shared" si="8"/>
        <v>12500</v>
      </c>
      <c r="F16" s="29">
        <f t="shared" si="8"/>
        <v>12500</v>
      </c>
      <c r="G16" s="29">
        <f t="shared" si="8"/>
        <v>12500</v>
      </c>
      <c r="H16" s="29">
        <f t="shared" si="8"/>
        <v>12487.307</v>
      </c>
    </row>
    <row r="17" ht="15.75" customHeight="1">
      <c r="A17" s="26" t="s">
        <v>112</v>
      </c>
      <c r="C17" s="29">
        <f t="shared" ref="C17:H17" si="9">C14*5.52%</f>
        <v>690</v>
      </c>
      <c r="D17" s="29">
        <f t="shared" si="9"/>
        <v>690</v>
      </c>
      <c r="E17" s="29">
        <f t="shared" si="9"/>
        <v>690</v>
      </c>
      <c r="F17" s="29">
        <f t="shared" si="9"/>
        <v>690</v>
      </c>
      <c r="G17" s="29">
        <f t="shared" si="9"/>
        <v>690</v>
      </c>
      <c r="H17" s="29">
        <f t="shared" si="9"/>
        <v>690</v>
      </c>
    </row>
    <row r="18" ht="15.75" customHeight="1">
      <c r="A18" s="26"/>
    </row>
    <row r="19" ht="15.75" customHeight="1">
      <c r="A19" s="26" t="s">
        <v>116</v>
      </c>
      <c r="C19" s="53">
        <f t="shared" ref="C19:H19" si="10">C7+C12+C17</f>
        <v>1750</v>
      </c>
      <c r="D19" s="53">
        <f t="shared" si="10"/>
        <v>1750</v>
      </c>
      <c r="E19" s="53">
        <f t="shared" si="10"/>
        <v>1750</v>
      </c>
      <c r="F19" s="53">
        <f t="shared" si="10"/>
        <v>1750</v>
      </c>
      <c r="G19" s="53">
        <f t="shared" si="10"/>
        <v>1750</v>
      </c>
      <c r="H19" s="53">
        <f t="shared" si="10"/>
        <v>1750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>
      <c r="A1" s="16" t="s">
        <v>117</v>
      </c>
      <c r="B1" s="16"/>
      <c r="C1" s="16"/>
      <c r="D1" s="16"/>
      <c r="E1" s="16"/>
      <c r="F1" s="16"/>
      <c r="G1" s="16"/>
      <c r="H1" s="16"/>
    </row>
    <row r="2" ht="15.75" customHeight="1">
      <c r="A2" s="16" t="s">
        <v>118</v>
      </c>
      <c r="B2" s="54">
        <v>2022.0</v>
      </c>
      <c r="C2" s="54">
        <v>2023.0</v>
      </c>
      <c r="D2" s="54">
        <v>2024.0</v>
      </c>
      <c r="E2" s="54">
        <v>2025.0</v>
      </c>
      <c r="F2" s="54">
        <v>2026.0</v>
      </c>
      <c r="G2" s="54">
        <v>2027.0</v>
      </c>
      <c r="H2" s="16"/>
    </row>
    <row r="3" ht="15.75" customHeight="1">
      <c r="A3" s="16"/>
      <c r="B3" s="16"/>
      <c r="C3" s="16"/>
      <c r="D3" s="16"/>
      <c r="E3" s="16"/>
      <c r="F3" s="16"/>
      <c r="G3" s="16"/>
      <c r="H3" s="16"/>
    </row>
    <row r="4" ht="15.75" customHeight="1">
      <c r="A4" s="16" t="s">
        <v>8</v>
      </c>
      <c r="B4" s="16"/>
      <c r="C4" s="16"/>
      <c r="D4" s="16"/>
      <c r="E4" s="16"/>
      <c r="F4" s="16"/>
      <c r="G4" s="55">
        <f>'Projected Financials (Best Case'!H20</f>
        <v>3191.445591</v>
      </c>
      <c r="H4" s="16"/>
    </row>
    <row r="5" ht="15.75" customHeight="1">
      <c r="A5" s="16" t="s">
        <v>119</v>
      </c>
      <c r="B5" s="16"/>
      <c r="C5" s="16"/>
      <c r="D5" s="16"/>
      <c r="E5" s="16"/>
      <c r="F5" s="16"/>
      <c r="G5" s="16">
        <v>25.0</v>
      </c>
      <c r="H5" s="16"/>
    </row>
    <row r="6" ht="15.75" customHeight="1">
      <c r="A6" s="16" t="s">
        <v>120</v>
      </c>
      <c r="B6" s="16"/>
      <c r="C6" s="16"/>
      <c r="D6" s="16"/>
      <c r="E6" s="16"/>
      <c r="F6" s="16"/>
      <c r="G6" s="55">
        <f>G4*G5</f>
        <v>79786.13978</v>
      </c>
      <c r="H6" s="16"/>
    </row>
    <row r="7" ht="15.75" customHeight="1">
      <c r="A7" s="16" t="s">
        <v>121</v>
      </c>
      <c r="B7" s="16"/>
      <c r="C7" s="16"/>
      <c r="D7" s="16"/>
      <c r="E7" s="16"/>
      <c r="F7" s="16"/>
      <c r="G7" s="55">
        <v>24148.780989235987</v>
      </c>
      <c r="H7" s="16"/>
    </row>
    <row r="8" ht="15.75" customHeight="1">
      <c r="A8" s="16" t="s">
        <v>122</v>
      </c>
      <c r="B8" s="16"/>
      <c r="C8" s="16"/>
      <c r="D8" s="16"/>
      <c r="E8" s="16"/>
      <c r="F8" s="16"/>
      <c r="G8" s="16">
        <v>0.0</v>
      </c>
      <c r="H8" s="16"/>
    </row>
    <row r="9" ht="15.75" customHeight="1">
      <c r="A9" s="16" t="s">
        <v>95</v>
      </c>
      <c r="B9" s="16"/>
      <c r="C9" s="16"/>
      <c r="D9" s="16"/>
      <c r="E9" s="16"/>
      <c r="F9" s="16"/>
      <c r="G9" s="55">
        <f>G6-G7</f>
        <v>55637.3588</v>
      </c>
      <c r="H9" s="16"/>
    </row>
    <row r="10" ht="15.75" customHeight="1">
      <c r="A10" s="16"/>
      <c r="B10" s="16"/>
      <c r="C10" s="16"/>
      <c r="D10" s="16"/>
      <c r="E10" s="16"/>
      <c r="F10" s="16"/>
      <c r="G10" s="16"/>
      <c r="H10" s="16"/>
    </row>
    <row r="11" ht="15.75" customHeight="1">
      <c r="A11" s="16"/>
      <c r="B11" s="16"/>
      <c r="C11" s="16"/>
      <c r="D11" s="16"/>
      <c r="E11" s="16"/>
      <c r="F11" s="16"/>
      <c r="G11" s="16"/>
      <c r="H11" s="16"/>
    </row>
    <row r="12" ht="15.75" customHeight="1">
      <c r="A12" s="16"/>
      <c r="B12" s="16"/>
      <c r="C12" s="16"/>
      <c r="D12" s="16"/>
      <c r="E12" s="16"/>
      <c r="F12" s="16"/>
      <c r="G12" s="16"/>
      <c r="H12" s="16"/>
    </row>
    <row r="13" ht="15.75" customHeight="1">
      <c r="A13" s="16"/>
      <c r="B13" s="16"/>
      <c r="C13" s="16"/>
      <c r="D13" s="16"/>
      <c r="E13" s="16"/>
      <c r="F13" s="16"/>
      <c r="G13" s="16"/>
      <c r="H13" s="16"/>
    </row>
    <row r="14" ht="15.75" customHeight="1">
      <c r="A14" s="16"/>
      <c r="B14" s="16"/>
      <c r="C14" s="16"/>
      <c r="D14" s="16"/>
      <c r="E14" s="16"/>
      <c r="F14" s="16"/>
      <c r="G14" s="16"/>
      <c r="H14" s="16"/>
    </row>
    <row r="15" ht="15.75" customHeight="1">
      <c r="A15" s="16"/>
      <c r="B15" s="16"/>
      <c r="C15" s="16"/>
      <c r="D15" s="16"/>
      <c r="E15" s="16"/>
      <c r="F15" s="16"/>
      <c r="G15" s="16"/>
      <c r="H15" s="16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